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f10f6dfebf84b35" /></Relationships>
</file>

<file path=xl/workbook.xml><?xml version="1.0" encoding="utf-8"?>
<x:workbook xmlns:x="http://schemas.openxmlformats.org/spreadsheetml/2006/main">
  <x:sheets>
    <x:sheet xmlns:r="http://schemas.openxmlformats.org/officeDocument/2006/relationships" name="Any utility included (41)" sheetId="1" r:id="R2eb0e1efbb064f5a"/>
    <x:sheet xmlns:r="http://schemas.openxmlformats.org/officeDocument/2006/relationships" name="All utilities stated (8)" sheetId="2" r:id="R7dba422bec174acb"/>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000"/>
    <x:numFmt numFmtId="202" formatCode="0"/>
  </x:numFmts>
  <x:fonts count="3">
    <x:font>
      <x:sz val="11"/>
      <x:name val="Carlito"/>
    </x:font>
    <x:font>
      <x:b/>
      <x:sz val="14"/>
      <x:color rgb="FFFFFFFF"/>
      <x:name val="Carlito"/>
    </x:font>
    <x:font>
      <x:b/>
      <x:sz val="11"/>
      <x:name val="Carlito"/>
    </x:font>
  </x:fonts>
  <x:fills count="5">
    <x:fill>
      <x:patternFill patternType="none"/>
    </x:fill>
    <x:fill>
      <x:patternFill patternType="gray125"/>
    </x:fill>
    <x:fill>
      <x:patternFill patternType="solid">
        <x:fgColor rgb="FF9C1B2B"/>
      </x:patternFill>
    </x:fill>
    <x:fill>
      <x:patternFill patternType="solid">
        <x:fgColor rgb="FFE7E2D9"/>
      </x:patternFill>
    </x:fill>
    <x:fill>
      <x:patternFill patternType="solid">
        <x:fgColor rgb="FFE2F0D9"/>
      </x:patternFill>
    </x:fill>
  </x:fills>
  <x:borders count="2">
    <x:border/>
    <x:border/>
  </x:borders>
  <x:cellStyleXfs count="1">
    <x:xf numFmtId="0" fontId="0" fillId="0" borderId="0"/>
  </x:cellStyleXfs>
  <x:cellXfs count="3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0" fontId="2" fillId="0" borderId="0" xfId="0" applyNumberFormat="1" applyFont="1" applyFill="1" applyBorder="1"/>
    <x:xf numFmtId="0" fontId="2"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0" fillId="4" borderId="0" xfId="0" applyNumberFormat="1" applyFont="1" applyFill="1" applyBorder="1" applyAlignment="1">
      <x:alignment wrapText="1"/>
    </x:xf>
    <x:xf numFmtId="200" fontId="0" fillId="4" borderId="0" xfId="0" applyNumberFormat="1" applyFont="1" applyFill="1" applyBorder="1" applyAlignment="1">
      <x:alignment wrapText="1"/>
    </x:xf>
    <x:xf numFmtId="201" fontId="0" fillId="4" borderId="0" xfId="0" applyNumberFormat="1" applyFont="1" applyFill="1" applyBorder="1" applyAlignment="1">
      <x:alignment wrapText="1"/>
    </x:xf>
    <x:xf numFmtId="0" fontId="0" fillId="4" borderId="1" xfId="0" applyNumberFormat="1" applyFont="1" applyFill="1" applyBorder="1" applyAlignment="1">
      <x:alignment wrapText="1"/>
    </x:xf>
    <x:xf numFmtId="200" fontId="0" fillId="4" borderId="1" xfId="0" applyNumberFormat="1" applyFont="1" applyFill="1" applyBorder="1" applyAlignment="1">
      <x:alignment wrapText="1"/>
    </x:xf>
    <x:xf numFmtId="201" fontId="0" fillId="4" borderId="1" xfId="0" applyNumberFormat="1" applyFont="1" applyFill="1" applyBorder="1" applyAlignment="1">
      <x:alignment wrapText="1"/>
    </x:xf>
    <x:xf numFmtId="0" fontId="2" fillId="4" borderId="0" xfId="0" applyNumberFormat="1" applyFont="1" applyFill="1" applyBorder="1" applyAlignment="1">
      <x:alignment wrapText="1"/>
    </x:xf>
    <x:xf numFmtId="0" fontId="2" fillId="4" borderId="1" xfId="0" applyNumberFormat="1" applyFont="1" applyFill="1" applyBorder="1" applyAlignment="1">
      <x:alignment wrapText="1"/>
    </x:xf>
    <x:xf numFmtId="0" fontId="0" fillId="4" borderId="0" xfId="0" applyNumberFormat="1" applyFont="1" applyFill="1" applyBorder="1"/>
    <x:xf numFmtId="0" fontId="2" fillId="4" borderId="0" xfId="0" applyNumberFormat="1" applyFont="1" applyFill="1" applyBorder="1"/>
    <x:xf numFmtId="0" fontId="0" fillId="4" borderId="1" xfId="0" applyNumberFormat="1" applyFont="1" applyFill="1" applyBorder="1"/>
    <x:xf numFmtId="0" fontId="2" fillId="4"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80e5ff7636d464e" /><Relationship Type="http://schemas.openxmlformats.org/officeDocument/2006/relationships/theme" Target="/xl/theme/theme1.xml" Id="R484e4ad3e8444543" /><Relationship Type="http://schemas.openxmlformats.org/officeDocument/2006/relationships/sharedStrings" Target="/xl/sharedStrings.xml" Id="R26a0cc1810554cde" /><Relationship Type="http://schemas.openxmlformats.org/officeDocument/2006/relationships/worksheet" Target="/xl/worksheets/sheet1.xml" Id="R2eb0e1efbb064f5a" /><Relationship Type="http://schemas.openxmlformats.org/officeDocument/2006/relationships/worksheet" Target="/xl/worksheets/sheet2.xml" Id="R7dba422bec174ac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5" hidden="0" customWidth="1"/>
    <x:col min="2" max="2" width="38" hidden="0" customWidth="1"/>
    <x:col min="3" max="3" width="17" hidden="0" customWidth="1"/>
    <x:col min="4" max="4" width="13" hidden="0" customWidth="1"/>
    <x:col min="5" max="5" width="13" hidden="0" customWidth="1"/>
    <x:col min="6" max="6" width="27" hidden="0" customWidth="1"/>
    <x:col min="7" max="7" width="30" hidden="0" customWidth="1"/>
    <x:col min="8" max="8" width="45" hidden="0" customWidth="1"/>
  </x:cols>
  <x:sheetData>
    <x:row r="1">
      <x:c r="A1" s="3" t="str">
        <x:v>Utility Audit — At Least One Core Utility Included</x:v>
      </x:c>
    </x:row>
    <x:row r="2">
      <x:c r="A2" s="6" t="str">
        <x:v>41 of 74 Main Campus private-bedroom analytic listings (55.4%) explicitly establish at least one selected core utility as included.</x:v>
      </x:c>
    </x:row>
    <x:row r="4">
      <x:c r="A4" s="10" t="str">
        <x:v>Listing ID</x:v>
      </x:c>
      <x:c r="B4" s="10" t="str">
        <x:v>Listing</x:v>
      </x:c>
      <x:c r="C4" s="10" t="str">
        <x:v>Advertised price</x:v>
      </x:c>
      <x:c r="D4" s="10" t="str">
        <x:v>Midpoint</x:v>
      </x:c>
      <x:c r="E4" s="10" t="str">
        <x:v>Distance (mi)</x:v>
      </x:c>
      <x:c r="F4" s="10" t="str">
        <x:v>Classification basis</x:v>
      </x:c>
      <x:c r="G4" s="10" t="str">
        <x:v>Core utilities explicitly included</x:v>
      </x:c>
      <x:c r="H4" s="10" t="str">
        <x:v>Original listing URL</x:v>
      </x:c>
    </x:row>
    <x:row r="5">
      <x:c r="A5" s="6" t="str">
        <x:v>ocpet5b7hm</x:v>
      </x:c>
      <x:c r="B5" s="6" t="str">
        <x:v>Modern/High Ceilings 2bed/2 bath</x:v>
      </x:c>
      <x:c r="C5" s="6" t="str">
        <x:v>$1,250</x:v>
      </x:c>
      <x:c r="D5" s="14" t="n">
        <x:v>1250</x:v>
      </x:c>
      <x:c r="E5" s="16" t="n">
        <x:v>1.026552005</x:v>
      </x:c>
      <x:c r="F5" s="6" t="str">
        <x:v>Structured utility fields</x:v>
      </x:c>
      <x:c r="G5" s="6" t="str">
        <x:v>Electricity; Gas; Heat; Trash Removal; Water/Sewer</x:v>
      </x:c>
      <x:c r="H5" s="6" t="str">
        <x:v>https://offcampus.dasa.ncsu.edu/housing/property/modern-high-ceilings-2bed-2-bath/ocpet5b7hm</x:v>
      </x:c>
    </x:row>
    <x:row r="6">
      <x:c r="A6" s="6" t="str">
        <x:v>7e6kx1w</x:v>
      </x:c>
      <x:c r="B6" s="6" t="str">
        <x:v>Centennial Ridge Student Housing</x:v>
      </x:c>
      <x:c r="C6" s="6" t="str">
        <x:v>$599 - $2,157</x:v>
      </x:c>
      <x:c r="D6" s="14" t="n">
        <x:v>1378</x:v>
      </x:c>
      <x:c r="E6" s="16" t="n">
        <x:v>2.372144719</x:v>
      </x:c>
      <x:c r="F6" s="6" t="str">
        <x:v>Structured utility fields</x:v>
      </x:c>
      <x:c r="G6" s="6" t="str">
        <x:v>Electricity; Heat; Water/Sewer</x:v>
      </x:c>
      <x:c r="H6" s="6" t="str">
        <x:v>https://offcampus.dasa.ncsu.edu/housing/property/centennial-ridge-student-housing/7e6kx1w</x:v>
      </x:c>
    </x:row>
    <x:row r="7">
      <x:c r="A7" s="6" t="str">
        <x:v>ocpw46rjcl</x:v>
      </x:c>
      <x:c r="B7" s="6" t="str">
        <x:v>Brand New Luxury Furnished Townhome | 4 Bed /  3.5 Bath | 5 Min to NC State &amp; 3 Mins to Fenton +shop</x:v>
      </x:c>
      <x:c r="C7" s="6" t="str">
        <x:v>$900 - $1,050</x:v>
      </x:c>
      <x:c r="D7" s="14" t="n">
        <x:v>975</x:v>
      </x:c>
      <x:c r="E7" s="16" t="n">
        <x:v>3.335</x:v>
      </x:c>
      <x:c r="F7" s="6" t="str">
        <x:v>Saved description</x:v>
      </x:c>
      <x:c r="G7" s="6" t="str"/>
      <x:c r="H7" s="6" t="str">
        <x:v>https://offcampus.dasa.ncsu.edu/housing/property/brand-new-luxury-furnished-townhome-4-bed-3-5-bath-5-min-to-nc-state-and-3-mins-to-fenton-shop/ocpw46rjcl</x:v>
      </x:c>
    </x:row>
    <x:row r="8">
      <x:c r="A8" s="6" t="str">
        <x:v>ocpchygggd</x:v>
      </x:c>
      <x:c r="B8" s="6" t="str">
        <x:v>Hurry 2 Rooms Left! – 4BR/4BA Condo Near NC State  – All Utilities &amp; Internet Included!</x:v>
      </x:c>
      <x:c r="C8" s="6" t="str">
        <x:v>$695</x:v>
      </x:c>
      <x:c r="D8" s="14" t="n">
        <x:v>695</x:v>
      </x:c>
      <x:c r="E8" s="16" t="n">
        <x:v>2.192366298</x:v>
      </x:c>
      <x:c r="F8" s="6" t="str">
        <x:v>Structured utility fields + saved description</x:v>
      </x:c>
      <x:c r="G8" s="6" t="str">
        <x:v>Electricity; Gas; Heat; Trash Removal; Water/Sewer</x:v>
      </x:c>
      <x:c r="H8" s="6" t="str">
        <x:v>https://offcampus.dasa.ncsu.edu/housing/property/hurry-2-rooms-left-4br-4ba-condo-near-nc-state-all-utilities-and-internet-included/ocpchygggd</x:v>
      </x:c>
    </x:row>
    <x:row r="9">
      <x:c r="A9" s="6" t="str">
        <x:v>ocpesl9n3p</x:v>
      </x:c>
      <x:c r="B9" s="6" t="str">
        <x:v>maisonNC --- Fully Furnished minutes away from Wolfline and Shopping</x:v>
      </x:c>
      <x:c r="C9" s="6" t="str">
        <x:v>$750</x:v>
      </x:c>
      <x:c r="D9" s="14" t="n">
        <x:v>750</x:v>
      </x:c>
      <x:c r="E9" s="16" t="n">
        <x:v>1.619349362</x:v>
      </x:c>
      <x:c r="F9" s="6" t="str">
        <x:v>Saved description</x:v>
      </x:c>
      <x:c r="G9" s="6" t="str"/>
      <x:c r="H9" s="6" t="str">
        <x:v>https://offcampus.dasa.ncsu.edu/housing/property/maisonnc-fully-furnished-minutes-away-from-wolfline-and-shopping/ocpesl9n3p</x:v>
      </x:c>
    </x:row>
    <x:row r="10">
      <x:c r="A10" s="6" t="str">
        <x:v>ocpcm3jede</x:v>
      </x:c>
      <x:c r="B10" s="6" t="str">
        <x:v>maisonNC --- Fully Furnished minutes away from Wolfline and Shopping</x:v>
      </x:c>
      <x:c r="C10" s="6" t="str">
        <x:v>$750</x:v>
      </x:c>
      <x:c r="D10" s="14" t="n">
        <x:v>750</x:v>
      </x:c>
      <x:c r="E10" s="16" t="n">
        <x:v>1.600371218</x:v>
      </x:c>
      <x:c r="F10" s="6" t="str">
        <x:v>Structured utility fields + saved description</x:v>
      </x:c>
      <x:c r="G10" s="6" t="str">
        <x:v>Electricity; Heat; Water/Sewer</x:v>
      </x:c>
      <x:c r="H10" s="6" t="str">
        <x:v>https://offcampus.dasa.ncsu.edu/housing/property/maisonnc-fully-furnished-minutes-away-from-wolfline-and-shopping/ocpcm3jede</x:v>
      </x:c>
    </x:row>
    <x:row r="11">
      <x:c r="A11" s="6" t="str">
        <x:v>ocpnx5c0kn</x:v>
      </x:c>
      <x:c r="B11" s="6" t="str">
        <x:v>Modern &amp; spacious 3BR/3BA Apartment w/View</x:v>
      </x:c>
      <x:c r="C11" s="6" t="str">
        <x:v>$1,000</x:v>
      </x:c>
      <x:c r="D11" s="14" t="n">
        <x:v>1000</x:v>
      </x:c>
      <x:c r="E11" s="16" t="n">
        <x:v>1.036129373</x:v>
      </x:c>
      <x:c r="F11" s="6" t="str">
        <x:v>Structured utility fields</x:v>
      </x:c>
      <x:c r="G11" s="6" t="str">
        <x:v>Electricity; Gas; Heat; Trash Removal; Water/Sewer</x:v>
      </x:c>
      <x:c r="H11" s="6" t="str">
        <x:v>https://offcampus.dasa.ncsu.edu/housing/property/modern-and-spacious-3br-3ba-apartment-w-view/ocpnx5c0kn</x:v>
      </x:c>
    </x:row>
    <x:row r="12">
      <x:c r="A12" s="6" t="str">
        <x:v>ocpjeweyz6</x:v>
      </x:c>
      <x:c r="B12" s="6" t="str">
        <x:v>All Girls Unit - Room with Private Bathroom at  University Woods at Centennial Condominiums</x:v>
      </x:c>
      <x:c r="C12" s="6" t="str">
        <x:v>$645</x:v>
      </x:c>
      <x:c r="D12" s="14" t="n">
        <x:v>645</x:v>
      </x:c>
      <x:c r="E12" s="16" t="n">
        <x:v>2.188347488</x:v>
      </x:c>
      <x:c r="F12" s="6" t="str">
        <x:v>Structured utility fields + saved description</x:v>
      </x:c>
      <x:c r="G12" s="6" t="str">
        <x:v>Trash Removal</x:v>
      </x:c>
      <x:c r="H12" s="6" t="str">
        <x:v>https://offcampus.dasa.ncsu.edu/housing/property/all-girls-unit-room-with-private-bathroom-at-university-woods-at-centennial-condominiums/ocpjeweyz6</x:v>
      </x:c>
    </x:row>
    <x:row r="13">
      <x:c r="A13" s="6" t="str">
        <x:v>0smdl31</x:v>
      </x:c>
      <x:c r="B13" s="6" t="str">
        <x:v>Paloma Raleigh</x:v>
      </x:c>
      <x:c r="C13" s="6" t="str">
        <x:v>$749 - $1,599</x:v>
      </x:c>
      <x:c r="D13" s="14" t="n">
        <x:v>1174</x:v>
      </x:c>
      <x:c r="E13" s="16" t="n">
        <x:v>2.624931081</x:v>
      </x:c>
      <x:c r="F13" s="6" t="str">
        <x:v>Structured utility fields</x:v>
      </x:c>
      <x:c r="G13" s="6" t="str">
        <x:v>Gas; Heat; Trash Removal; Water/Sewer</x:v>
      </x:c>
      <x:c r="H13" s="6" t="str">
        <x:v>https://offcampus.dasa.ncsu.edu/housing/property/paloma-raleigh/0smdl31</x:v>
      </x:c>
    </x:row>
    <x:row r="14">
      <x:c r="A14" s="6" t="str">
        <x:v>ocppjxdd3r</x:v>
      </x:c>
      <x:c r="B14" s="6" t="str">
        <x:v>Collegeview Duplex--Brand New Luxury Housing within walking distance to NCSU</x:v>
      </x:c>
      <x:c r="C14" s="6" t="str">
        <x:v>$900 - $950</x:v>
      </x:c>
      <x:c r="D14" s="14" t="n">
        <x:v>925</x:v>
      </x:c>
      <x:c r="E14" s="16" t="n">
        <x:v>0.249152533</x:v>
      </x:c>
      <x:c r="F14" s="6" t="str">
        <x:v>Structured utility fields</x:v>
      </x:c>
      <x:c r="G14" s="6" t="str">
        <x:v>Trash Removal</x:v>
      </x:c>
      <x:c r="H14" s="6" t="str">
        <x:v>https://offcampus.dasa.ncsu.edu/housing/property/collegeview-duplex-brand-new-luxury-housing-within-walking-distance-to-ncsu/ocppjxdd3r</x:v>
      </x:c>
    </x:row>
    <x:row r="15">
      <x:c r="A15" s="6" t="str">
        <x:v>ocpe1n95cm</x:v>
      </x:c>
      <x:c r="B15" s="6" t="str">
        <x:v>Big Promotion w/best price ever. Move in Immediately . MarcomTowns. Great location nice</x:v>
      </x:c>
      <x:c r="C15" s="6" t="str">
        <x:v>$950</x:v>
      </x:c>
      <x:c r="D15" s="14" t="n">
        <x:v>950</x:v>
      </x:c>
      <x:c r="E15" s="16" t="n">
        <x:v>0.243489368</x:v>
      </x:c>
      <x:c r="F15" s="6" t="str">
        <x:v>Structured utility fields</x:v>
      </x:c>
      <x:c r="G15" s="6" t="str">
        <x:v>Trash Removal</x:v>
      </x:c>
      <x:c r="H15" s="6" t="str">
        <x:v>https://offcampus.dasa.ncsu.edu/housing/property/big-promotion-w-best-price-ever-move-in-immediately-marcomtowns-great-location-nice/ocpe1n95cm</x:v>
      </x:c>
    </x:row>
    <x:row r="16">
      <x:c r="A16" s="6" t="str">
        <x:v>ocp2evl6hb</x:v>
      </x:c>
      <x:c r="B16" s="6" t="str">
        <x:v>University Oaks -</x:v>
      </x:c>
      <x:c r="C16" s="6" t="str">
        <x:v>$725</x:v>
      </x:c>
      <x:c r="D16" s="14" t="n">
        <x:v>725</x:v>
      </x:c>
      <x:c r="E16" s="16" t="n">
        <x:v>0.440031949</x:v>
      </x:c>
      <x:c r="F16" s="6" t="str">
        <x:v>Structured utility fields + saved description</x:v>
      </x:c>
      <x:c r="G16" s="6" t="str">
        <x:v>Electricity; Gas; Heat; Trash Removal; Water/Sewer</x:v>
      </x:c>
      <x:c r="H16" s="6" t="str">
        <x:v>https://offcampus.dasa.ncsu.edu/housing/property/university-oaks/ocp2evl6hb</x:v>
      </x:c>
    </x:row>
    <x:row r="17">
      <x:c r="A17" s="6" t="str">
        <x:v>ocpvlydr3e</x:v>
      </x:c>
      <x:c r="B17" s="6" t="str">
        <x:v>Reavis ---Brand New Luxury Housing within walking distance to NCSU</x:v>
      </x:c>
      <x:c r="C17" s="6" t="str">
        <x:v>$925 - $975</x:v>
      </x:c>
      <x:c r="D17" s="14" t="n">
        <x:v>950</x:v>
      </x:c>
      <x:c r="E17" s="16" t="n">
        <x:v>0.846079213</x:v>
      </x:c>
      <x:c r="F17" s="6" t="str">
        <x:v>Structured utility fields</x:v>
      </x:c>
      <x:c r="G17" s="6" t="str">
        <x:v>Trash Removal</x:v>
      </x:c>
      <x:c r="H17" s="6" t="str">
        <x:v>https://offcampus.dasa.ncsu.edu/housing/property/reavis-brand-new-luxury-housing-within-walking-distance-to-ncsu/ocpvlydr3e</x:v>
      </x:c>
    </x:row>
    <x:row r="18">
      <x:c r="A18" s="6" t="str">
        <x:v>ocpxdxd79p</x:v>
      </x:c>
      <x:c r="B18" s="6" t="str">
        <x:v>4BR/4BA Condo| On Wolfline | Preleasing 27-28 Special $850 Util/Parking Incld | Mile to Campus</x:v>
      </x:c>
      <x:c r="C18" s="6" t="str">
        <x:v>$875</x:v>
      </x:c>
      <x:c r="D18" s="14" t="n">
        <x:v>875</x:v>
      </x:c>
      <x:c r="E18" s="16" t="n">
        <x:v>0.655411437</x:v>
      </x:c>
      <x:c r="F18" s="6" t="str">
        <x:v>Structured utility fields + saved description</x:v>
      </x:c>
      <x:c r="G18" s="6" t="str">
        <x:v>Electricity; Heat; Trash Removal; Water/Sewer</x:v>
      </x:c>
      <x:c r="H18" s="6" t="str">
        <x:v>https://offcampus.dasa.ncsu.edu/housing/property/4br-4ba-condo-on-wolfline-preleasing-27-28-special-850-util-parking-incld-mile-to-campus/ocpxdxd79p</x:v>
      </x:c>
    </x:row>
    <x:row r="19">
      <x:c r="A19" s="6" t="str">
        <x:v>ocpm68s5sh</x:v>
      </x:c>
      <x:c r="B19" s="6" t="str">
        <x:v>Burt Drive Townhouses---Brand New Luxury Housing within walking distance to NCSU</x:v>
      </x:c>
      <x:c r="C19" s="6" t="str">
        <x:v>$1,050</x:v>
      </x:c>
      <x:c r="D19" s="14" t="n">
        <x:v>1050</x:v>
      </x:c>
      <x:c r="E19" s="16" t="n">
        <x:v>0.339887457</x:v>
      </x:c>
      <x:c r="F19" s="6" t="str">
        <x:v>Structured utility fields</x:v>
      </x:c>
      <x:c r="G19" s="6" t="str">
        <x:v>Trash Removal</x:v>
      </x:c>
      <x:c r="H19" s="6" t="str">
        <x:v>https://offcampus.dasa.ncsu.edu/housing/property/burt-drive-townhouses-brand-new-luxury-housing-within-walking-distance-to-ncsu/ocpm68s5sh</x:v>
      </x:c>
    </x:row>
    <x:row r="20">
      <x:c r="A20" s="6" t="str">
        <x:v>z8cfdjw</x:v>
      </x:c>
      <x:c r="B20" s="6" t="str">
        <x:v>Campus Crossings Raleigh</x:v>
      </x:c>
      <x:c r="C20" s="6" t="str">
        <x:v>$685 - $870</x:v>
      </x:c>
      <x:c r="D20" s="14" t="n">
        <x:v>777.5</x:v>
      </x:c>
      <x:c r="E20" s="16" t="n">
        <x:v>2.420198986</x:v>
      </x:c>
      <x:c r="F20" s="6" t="str">
        <x:v>Structured utility fields</x:v>
      </x:c>
      <x:c r="G20" s="6" t="str">
        <x:v>Electricity; Heat; Trash Removal; Water/Sewer</x:v>
      </x:c>
      <x:c r="H20" s="6" t="str">
        <x:v>https://offcampus.dasa.ncsu.edu/housing/property/campus-crossings-raleigh/z8cfdjw</x:v>
      </x:c>
    </x:row>
    <x:row r="21">
      <x:c r="A21" s="6" t="str">
        <x:v>ocp6mp93ms</x:v>
      </x:c>
      <x:c r="B21" s="6" t="str">
        <x:v>Newly Renovated - All Girls Unit Room with Private Bathroom</x:v>
      </x:c>
      <x:c r="C21" s="6" t="str">
        <x:v>$645</x:v>
      </x:c>
      <x:c r="D21" s="14" t="n">
        <x:v>645</x:v>
      </x:c>
      <x:c r="E21" s="16" t="n">
        <x:v>2.193838767</x:v>
      </x:c>
      <x:c r="F21" s="6" t="str">
        <x:v>Saved description</x:v>
      </x:c>
      <x:c r="G21" s="6" t="str"/>
      <x:c r="H21" s="6" t="str">
        <x:v>https://offcampus.dasa.ncsu.edu/housing/property/newly-renovated-all-girls-unit-room-with-private-bathroom/ocp6mp93ms</x:v>
      </x:c>
    </x:row>
    <x:row r="22">
      <x:c r="A22" s="6" t="str">
        <x:v>5x5ph7m</x:v>
      </x:c>
      <x:c r="B22" s="6" t="str">
        <x:v>Redpoint Raleigh</x:v>
      </x:c>
      <x:c r="C22" s="6" t="str">
        <x:v>$899 - $995</x:v>
      </x:c>
      <x:c r="D22" s="14" t="n">
        <x:v>947</x:v>
      </x:c>
      <x:c r="E22" s="16" t="n">
        <x:v>2.69627335</x:v>
      </x:c>
      <x:c r="F22" s="6" t="str">
        <x:v>Structured utility fields</x:v>
      </x:c>
      <x:c r="G22" s="6" t="str">
        <x:v>Gas; Heat; Trash Removal; Water/Sewer</x:v>
      </x:c>
      <x:c r="H22" s="6" t="str">
        <x:v>https://offcampus.dasa.ncsu.edu/housing/property/redpoint-raleigh/5x5ph7m</x:v>
      </x:c>
    </x:row>
    <x:row r="23">
      <x:c r="A23" s="6" t="str">
        <x:v>jjs8f07</x:v>
      </x:c>
      <x:c r="B23" s="6" t="str">
        <x:v>Village Green Student Housing</x:v>
      </x:c>
      <x:c r="C23" s="6" t="str">
        <x:v>$649 - $839</x:v>
      </x:c>
      <x:c r="D23" s="14" t="n">
        <x:v>744</x:v>
      </x:c>
      <x:c r="E23" s="16" t="n">
        <x:v>1.932509975</x:v>
      </x:c>
      <x:c r="F23" s="6" t="str">
        <x:v>Structured utility fields</x:v>
      </x:c>
      <x:c r="G23" s="6" t="str">
        <x:v>Electricity; Gas; Heat; Trash Removal; Water/Sewer</x:v>
      </x:c>
      <x:c r="H23" s="6" t="str">
        <x:v>https://offcampus.dasa.ncsu.edu/housing/property/village-green-student-housing/jjs8f07</x:v>
      </x:c>
    </x:row>
    <x:row r="24">
      <x:c r="A24" s="6" t="str">
        <x:v>ocpbhbkvy9</x:v>
      </x:c>
      <x:c r="B24" s="6" t="str">
        <x:v>Voyager House</x:v>
      </x:c>
      <x:c r="C24" s="6" t="str">
        <x:v>$800</x:v>
      </x:c>
      <x:c r="D24" s="14" t="n">
        <x:v>800</x:v>
      </x:c>
      <x:c r="E24" s="16" t="n">
        <x:v>1.884049975</x:v>
      </x:c>
      <x:c r="F24" s="6" t="str">
        <x:v>Structured utility fields</x:v>
      </x:c>
      <x:c r="G24" s="6" t="str">
        <x:v>Electricity; Gas; Heat; Trash Removal; Water/Sewer</x:v>
      </x:c>
      <x:c r="H24" s="6" t="str">
        <x:v>https://offcampus.dasa.ncsu.edu/housing/property/voyager-house/ocpbhbkvy9</x:v>
      </x:c>
    </x:row>
    <x:row r="25">
      <x:c r="A25" s="6" t="str">
        <x:v>e13mz5m</x:v>
      </x:c>
      <x:c r="B25" s="6" t="str">
        <x:v>University Suites Student Housing</x:v>
      </x:c>
      <x:c r="C25" s="6" t="str">
        <x:v>$699 - $799</x:v>
      </x:c>
      <x:c r="D25" s="14" t="n">
        <x:v>749</x:v>
      </x:c>
      <x:c r="E25" s="16" t="n">
        <x:v>2.29213488</x:v>
      </x:c>
      <x:c r="F25" s="6" t="str">
        <x:v>Structured utility fields</x:v>
      </x:c>
      <x:c r="G25" s="6" t="str">
        <x:v>Electricity; Trash Removal; Water/Sewer</x:v>
      </x:c>
      <x:c r="H25" s="6" t="str">
        <x:v>https://offcampus.dasa.ncsu.edu/housing/property/university-suites-student-housing/e13mz5m</x:v>
      </x:c>
    </x:row>
    <x:row r="26">
      <x:c r="A26" s="6" t="str">
        <x:v>ocpepvxvln</x:v>
      </x:c>
      <x:c r="B26" s="6" t="str">
        <x:v>Village Green Student Living</x:v>
      </x:c>
      <x:c r="C26" s="6" t="str">
        <x:v>$831</x:v>
      </x:c>
      <x:c r="D26" s="14" t="n">
        <x:v>831</x:v>
      </x:c>
      <x:c r="E26" s="16" t="n">
        <x:v>1.815869405</x:v>
      </x:c>
      <x:c r="F26" s="6" t="str">
        <x:v>Saved description</x:v>
      </x:c>
      <x:c r="G26" s="6" t="str"/>
      <x:c r="H26" s="6" t="str">
        <x:v>https://offcampus.dasa.ncsu.edu/housing/property/village-green-student-living/ocpepvxvln</x:v>
      </x:c>
    </x:row>
    <x:row r="27">
      <x:c r="A27" s="6" t="str">
        <x:v>ocpgxr290w</x:v>
      </x:c>
      <x:c r="B27" s="6" t="str">
        <x:v>Spacious Forest Park Two-Room Suite + Private Bath - Walk to Campus (Includes Utilities)</x:v>
      </x:c>
      <x:c r="C27" s="6" t="str">
        <x:v>$1,225</x:v>
      </x:c>
      <x:c r="D27" s="14" t="n">
        <x:v>1225</x:v>
      </x:c>
      <x:c r="E27" s="16" t="n">
        <x:v>1.604060636</x:v>
      </x:c>
      <x:c r="F27" s="6" t="str">
        <x:v>Saved description</x:v>
      </x:c>
      <x:c r="G27" s="6" t="str"/>
      <x:c r="H27" s="6" t="str">
        <x:v>https://offcampus.dasa.ncsu.edu/housing/property/spacious-forest-park-two-room-suite-private-bath-walk-to-campus-includes-utilities/ocpgxr290w</x:v>
      </x:c>
    </x:row>
    <x:row r="28">
      <x:c r="A28" s="6" t="str">
        <x:v>ocpsd8dpj6</x:v>
      </x:c>
      <x:c r="B28" s="6" t="str">
        <x:v>Spacious En-suite with private patio and garage parking in Crescent Ridge Townhome Community</x:v>
      </x:c>
      <x:c r="C28" s="6" t="str">
        <x:v>$900</x:v>
      </x:c>
      <x:c r="D28" s="14" t="n">
        <x:v>900</x:v>
      </x:c>
      <x:c r="E28" s="16" t="n">
        <x:v>2.725369678</x:v>
      </x:c>
      <x:c r="F28" s="6" t="str">
        <x:v>Structured utility fields + saved description</x:v>
      </x:c>
      <x:c r="G28" s="6" t="str">
        <x:v>Electricity; Gas; Heat; Trash Removal; Water/Sewer</x:v>
      </x:c>
      <x:c r="H28" s="6" t="str">
        <x:v>https://offcampus.dasa.ncsu.edu/housing/property/spacious-en-suite-with-private-patio-and-garage-parking-in-crescent-ridge-townhome-community/ocpsd8dpj6</x:v>
      </x:c>
    </x:row>
    <x:row r="29">
      <x:c r="A29" s="6" t="str">
        <x:v>ocp2gxtxqc</x:v>
      </x:c>
      <x:c r="B29" s="6" t="str">
        <x:v>The Station</x:v>
      </x:c>
      <x:c r="C29" s="6" t="str">
        <x:v>$969</x:v>
      </x:c>
      <x:c r="D29" s="14" t="n">
        <x:v>969</x:v>
      </x:c>
      <x:c r="E29" s="16" t="n">
        <x:v>2.152909218</x:v>
      </x:c>
      <x:c r="F29" s="6" t="str">
        <x:v>Saved description</x:v>
      </x:c>
      <x:c r="G29" s="6" t="str"/>
      <x:c r="H29" s="6" t="str">
        <x:v>https://offcampus.dasa.ncsu.edu/housing/property/the-station/ocp2gxtxqc</x:v>
      </x:c>
    </x:row>
    <x:row r="30">
      <x:c r="A30" s="6" t="str">
        <x:v>ocppbmmgnt</x:v>
      </x:c>
      <x:c r="B30" s="6" t="str">
        <x:v>5 bedroom townhome available near NC State</x:v>
      </x:c>
      <x:c r="C30" s="6" t="str">
        <x:v>$650</x:v>
      </x:c>
      <x:c r="D30" s="14" t="n">
        <x:v>650</x:v>
      </x:c>
      <x:c r="E30" s="16" t="n">
        <x:v>2.375235559</x:v>
      </x:c>
      <x:c r="F30" s="6" t="str">
        <x:v>Structured utility fields</x:v>
      </x:c>
      <x:c r="G30" s="6" t="str">
        <x:v>Trash Removal</x:v>
      </x:c>
      <x:c r="H30" s="6" t="str">
        <x:v>https://offcampus.dasa.ncsu.edu/housing/property/5-bedroom-townhome-available-near-nc-state/ocppbmmgnt</x:v>
      </x:c>
    </x:row>
    <x:row r="31">
      <x:c r="A31" s="6" t="str">
        <x:v>ocpx51p4tm</x:v>
      </x:c>
      <x:c r="B31" s="6" t="str">
        <x:v>Condo near NCSU</x:v>
      </x:c>
      <x:c r="C31" s="6" t="str">
        <x:v>$800</x:v>
      </x:c>
      <x:c r="D31" s="14" t="n">
        <x:v>800</x:v>
      </x:c>
      <x:c r="E31" s="16" t="n">
        <x:v>1.625432361</x:v>
      </x:c>
      <x:c r="F31" s="6" t="str">
        <x:v>Saved description</x:v>
      </x:c>
      <x:c r="G31" s="6" t="str"/>
      <x:c r="H31" s="6" t="str">
        <x:v>https://offcampus.dasa.ncsu.edu/housing/property/condo-near-ncsu/ocpx51p4tm</x:v>
      </x:c>
    </x:row>
    <x:row r="32">
      <x:c r="A32" s="6" t="str">
        <x:v>ocphdtdgk2</x:v>
      </x:c>
      <x:c r="B32" s="6" t="str">
        <x:v>105 Friendly Drive! Furnished Room Rentals with Utilities!</x:v>
      </x:c>
      <x:c r="C32" s="6" t="str">
        <x:v>$775 - $1,050</x:v>
      </x:c>
      <x:c r="D32" s="14" t="n">
        <x:v>912.5</x:v>
      </x:c>
      <x:c r="E32" s="16" t="n">
        <x:v>0.734302196</x:v>
      </x:c>
      <x:c r="F32" s="6" t="str">
        <x:v>Structured utility fields + saved description</x:v>
      </x:c>
      <x:c r="G32" s="6" t="str">
        <x:v>Electricity; Heat; Trash Removal; Water/Sewer</x:v>
      </x:c>
      <x:c r="H32" s="6" t="str">
        <x:v>https://offcampus.dasa.ncsu.edu/housing/property/105-friendly-drive-furnished-room-rentals-with-utilities/ocphdtdgk2</x:v>
      </x:c>
    </x:row>
    <x:row r="33">
      <x:c r="A33" s="6" t="str">
        <x:v>ocp4lh373j</x:v>
      </x:c>
      <x:c r="B33" s="6" t="str">
        <x:v>Hub Raleigh – 4x2 Lease Takeover, Available Now</x:v>
      </x:c>
      <x:c r="C33" s="6" t="str">
        <x:v>$1,199</x:v>
      </x:c>
      <x:c r="D33" s="14" t="n">
        <x:v>1199</x:v>
      </x:c>
      <x:c r="E33" s="16" t="n">
        <x:v>1.249575868</x:v>
      </x:c>
      <x:c r="F33" s="6" t="str">
        <x:v>Saved description</x:v>
      </x:c>
      <x:c r="G33" s="6" t="str"/>
      <x:c r="H33" s="6" t="str">
        <x:v>https://offcampus.dasa.ncsu.edu/housing/property/hub-raleigh-4x2-lease-takeover-available-now/ocp4lh373j</x:v>
      </x:c>
    </x:row>
    <x:row r="34">
      <x:c r="A34" s="6" t="str">
        <x:v>se736e5</x:v>
      </x:c>
      <x:c r="B34" s="6" t="str">
        <x:v>College Inn</x:v>
      </x:c>
      <x:c r="C34" s="6" t="str">
        <x:v>$859 - $1,275</x:v>
      </x:c>
      <x:c r="D34" s="14" t="n">
        <x:v>1067</x:v>
      </x:c>
      <x:c r="E34" s="16" t="n">
        <x:v>0.246460777</x:v>
      </x:c>
      <x:c r="F34" s="6" t="str">
        <x:v>Structured utility fields</x:v>
      </x:c>
      <x:c r="G34" s="6" t="str">
        <x:v>Electricity; Gas; Heat; Water/Sewer</x:v>
      </x:c>
      <x:c r="H34" s="6" t="str">
        <x:v>https://offcampus.dasa.ncsu.edu/housing/property/college-inn/se736e5</x:v>
      </x:c>
    </x:row>
    <x:row r="35">
      <x:c r="A35" s="6" t="str">
        <x:v>ocp0gblz91</x:v>
      </x:c>
      <x:c r="B35" s="6" t="str">
        <x:v>Great value in beautiful SW Raleigh</x:v>
      </x:c>
      <x:c r="C35" s="6" t="str">
        <x:v>$850</x:v>
      </x:c>
      <x:c r="D35" s="14" t="n">
        <x:v>850</x:v>
      </x:c>
      <x:c r="E35" s="16" t="n">
        <x:v>3.495</x:v>
      </x:c>
      <x:c r="F35" s="6" t="str">
        <x:v>Saved description</x:v>
      </x:c>
      <x:c r="G35" s="6" t="str"/>
      <x:c r="H35" s="6" t="str">
        <x:v>https://offcampus.dasa.ncsu.edu/housing/property/great-value-in-beautiful-sw-raleigh/ocp0gblz91</x:v>
      </x:c>
    </x:row>
    <x:row r="36">
      <x:c r="A36" s="6" t="str">
        <x:v>ocpteqgjg8</x:v>
      </x:c>
      <x:c r="B36" s="6" t="str">
        <x:v>Huge modern studio suite- private entrance and beth- near NCSU</x:v>
      </x:c>
      <x:c r="C36" s="6" t="str">
        <x:v>$1,150</x:v>
      </x:c>
      <x:c r="D36" s="14" t="n">
        <x:v>1150</x:v>
      </x:c>
      <x:c r="E36" s="16" t="n">
        <x:v>2.969896437</x:v>
      </x:c>
      <x:c r="F36" s="6" t="str">
        <x:v>Saved description</x:v>
      </x:c>
      <x:c r="G36" s="6" t="str"/>
      <x:c r="H36" s="6" t="str">
        <x:v>https://offcampus.dasa.ncsu.edu/housing/property/huge-modern-studio-suite-private-entrance-and-beth-near-ncsu/ocpteqgjg8</x:v>
      </x:c>
    </x:row>
    <x:row r="37">
      <x:c r="A37" s="6" t="str">
        <x:v>ocp4t7wmxk</x:v>
      </x:c>
      <x:c r="B37" s="6" t="str">
        <x:v>University Oaks</x:v>
      </x:c>
      <x:c r="C37" s="6" t="str">
        <x:v>$725</x:v>
      </x:c>
      <x:c r="D37" s="14" t="n">
        <x:v>725</x:v>
      </x:c>
      <x:c r="E37" s="16" t="n">
        <x:v>0.456914407</x:v>
      </x:c>
      <x:c r="F37" s="6" t="str">
        <x:v>Saved description</x:v>
      </x:c>
      <x:c r="G37" s="6" t="str"/>
      <x:c r="H37" s="6" t="str">
        <x:v>https://offcampus.dasa.ncsu.edu/housing/property/university-oaks/ocp4t7wmxk</x:v>
      </x:c>
    </x:row>
    <x:row r="38">
      <x:c r="A38" s="6" t="str">
        <x:v>ocpq99qjpx</x:v>
      </x:c>
      <x:c r="B38" s="6" t="str">
        <x:v>Apartment close to NCSU</x:v>
      </x:c>
      <x:c r="C38" s="6" t="str">
        <x:v>$645</x:v>
      </x:c>
      <x:c r="D38" s="14" t="n">
        <x:v>645</x:v>
      </x:c>
      <x:c r="E38" s="16" t="n">
        <x:v>1.653317243</x:v>
      </x:c>
      <x:c r="F38" s="6" t="str">
        <x:v>Structured utility fields + saved description</x:v>
      </x:c>
      <x:c r="G38" s="6" t="str">
        <x:v>Electricity; Water/Sewer</x:v>
      </x:c>
      <x:c r="H38" s="6" t="str">
        <x:v>https://offcampus.dasa.ncsu.edu/housing/property/apartment-close-to-ncsu/ocpq99qjpx</x:v>
      </x:c>
    </x:row>
    <x:row r="39">
      <x:c r="A39" s="6" t="str">
        <x:v>ocps6ymwl7</x:v>
      </x:c>
      <x:c r="B39" s="6" t="str">
        <x:v>University Woods</x:v>
      </x:c>
      <x:c r="C39" s="6" t="str">
        <x:v>$600</x:v>
      </x:c>
      <x:c r="D39" s="14" t="n">
        <x:v>600</x:v>
      </x:c>
      <x:c r="E39" s="16" t="n">
        <x:v>2.123645671</x:v>
      </x:c>
      <x:c r="F39" s="6" t="str">
        <x:v>Structured utility fields + saved description</x:v>
      </x:c>
      <x:c r="G39" s="6" t="str">
        <x:v>Electricity; Water/Sewer</x:v>
      </x:c>
      <x:c r="H39" s="6" t="str">
        <x:v>https://offcampus.dasa.ncsu.edu/housing/property/university-woods/ocps6ymwl7</x:v>
      </x:c>
    </x:row>
    <x:row r="40">
      <x:c r="A40" s="6" t="str">
        <x:v>ocpvgtpebg</x:v>
      </x:c>
      <x:c r="B40" s="6" t="str">
        <x:v>Lake Park Condos- Room Rental with Utilities</x:v>
      </x:c>
      <x:c r="C40" s="6" t="str">
        <x:v>$500 - $600</x:v>
      </x:c>
      <x:c r="D40" s="14" t="n">
        <x:v>550</x:v>
      </x:c>
      <x:c r="E40" s="16" t="n">
        <x:v>1.637356936</x:v>
      </x:c>
      <x:c r="F40" s="6" t="str">
        <x:v>Structured utility fields + saved description</x:v>
      </x:c>
      <x:c r="G40" s="6" t="str">
        <x:v>Electricity; Water/Sewer</x:v>
      </x:c>
      <x:c r="H40" s="6" t="str">
        <x:v>https://offcampus.dasa.ncsu.edu/housing/property/lake-park-condos-room-rental-with-utilities/ocpvgtpebg</x:v>
      </x:c>
    </x:row>
    <x:row r="41">
      <x:c r="A41" s="6" t="str">
        <x:v>5hme2mn</x:v>
      </x:c>
      <x:c r="B41" s="6" t="str">
        <x:v>The Station Raleigh</x:v>
      </x:c>
      <x:c r="C41" s="6" t="str">
        <x:v>$749 - $1,930</x:v>
      </x:c>
      <x:c r="D41" s="14" t="n">
        <x:v>1339.5</x:v>
      </x:c>
      <x:c r="E41" s="16" t="n">
        <x:v>2.173712249</x:v>
      </x:c>
      <x:c r="F41" s="6" t="str">
        <x:v>Structured utility fields</x:v>
      </x:c>
      <x:c r="G41" s="6" t="str">
        <x:v>Gas; Heat; Trash Removal; Water/Sewer</x:v>
      </x:c>
      <x:c r="H41" s="6" t="str">
        <x:v>https://offcampus.dasa.ncsu.edu/housing/property/the-station-raleigh/5hme2mn</x:v>
      </x:c>
    </x:row>
    <x:row r="42">
      <x:c r="A42" s="6" t="str">
        <x:v>lpl9fce</x:v>
      </x:c>
      <x:c r="B42" s="6" t="str">
        <x:v>2850 Sanderford Rd (Raleigh, NC)</x:v>
      </x:c>
      <x:c r="C42" s="6" t="str">
        <x:v>$650</x:v>
      </x:c>
      <x:c r="D42" s="14" t="n">
        <x:v>650</x:v>
      </x:c>
      <x:c r="E42" s="16" t="n">
        <x:v>4.773</x:v>
      </x:c>
      <x:c r="F42" s="6" t="str">
        <x:v>Structured utility fields + saved description</x:v>
      </x:c>
      <x:c r="G42" s="6" t="str">
        <x:v>Electricity; Trash Removal; Water/Sewer</x:v>
      </x:c>
      <x:c r="H42" s="6" t="str">
        <x:v>https://offcampus.dasa.ncsu.edu/housing/property/2850-sanderford-rd-raleigh-nc/lpl9fce</x:v>
      </x:c>
    </x:row>
    <x:row r="43">
      <x:c r="A43" s="6" t="str">
        <x:v>ocp67ldb5s</x:v>
      </x:c>
      <x:c r="B43" s="6" t="str">
        <x:v>The Wilde</x:v>
      </x:c>
      <x:c r="C43" s="6" t="str">
        <x:v>$860</x:v>
      </x:c>
      <x:c r="D43" s="14" t="n">
        <x:v>860</x:v>
      </x:c>
      <x:c r="E43" s="16" t="n">
        <x:v>2.038270328</x:v>
      </x:c>
      <x:c r="F43" s="6" t="str">
        <x:v>Saved description</x:v>
      </x:c>
      <x:c r="G43" s="6" t="str"/>
      <x:c r="H43" s="6" t="str">
        <x:v>https://offcampus.dasa.ncsu.edu/housing/property/the-wilde/ocp67ldb5s</x:v>
      </x:c>
    </x:row>
    <x:row r="44">
      <x:c r="A44" s="6" t="str">
        <x:v>ocp0psn632</x:v>
      </x:c>
      <x:c r="B44" s="6" t="str">
        <x:v>An apartments with 3 bed and 3 bath for NC State Students www.ncstudentsliving.com</x:v>
      </x:c>
      <x:c r="C44" s="6" t="str">
        <x:v>$650</x:v>
      </x:c>
      <x:c r="D44" s="14" t="n">
        <x:v>650</x:v>
      </x:c>
      <x:c r="E44" s="16" t="n">
        <x:v>2.262000465</x:v>
      </x:c>
      <x:c r="F44" s="6" t="str">
        <x:v>Structured utility fields</x:v>
      </x:c>
      <x:c r="G44" s="6" t="str">
        <x:v>Trash Removal; Water/Sewer</x:v>
      </x:c>
      <x:c r="H44" s="6" t="str">
        <x:v>https://offcampus.dasa.ncsu.edu/housing/property/an-apartments-with-3-bed-and-3-bath-for-nc-state-students-www-ncstudentsliving-com/ocp0psn632</x:v>
      </x:c>
    </x:row>
    <x:row r="45">
      <x:c r="A45" s="6" t="str">
        <x:v>ocp5lwrmvq</x:v>
      </x:c>
      <x:c r="B45" s="6" t="str">
        <x:v>Convenient Kaplan Dr property near NCSU buses, park, grocery, with parking space &amp; private bathroom</x:v>
      </x:c>
      <x:c r="C45" s="6" t="str">
        <x:v>$675</x:v>
      </x:c>
      <x:c r="D45" s="14" t="n">
        <x:v>675</x:v>
      </x:c>
      <x:c r="E45" s="16" t="n">
        <x:v>0.716855117</x:v>
      </x:c>
      <x:c r="F45" s="6" t="str">
        <x:v>Saved description</x:v>
      </x:c>
      <x:c r="G45" s="6" t="str"/>
      <x:c r="H45" s="6" t="str">
        <x:v>https://offcampus.dasa.ncsu.edu/housing/property/convenient-kaplan-dr-property-near-ncsu-buses-park-grocery-with-parking-space-and-private-bathroom/ocp5lwrmvq</x:v>
      </x:c>
    </x:row>
    <x:row r="47">
      <x:c r="A47" s="18" t="str">
        <x:v>COUNT</x:v>
      </x:c>
      <x:c r="B47" s="18" t="str">
        <x:v>Listing count</x:v>
      </x:c>
      <x:c r="D47" s="20" t="n">
        <x:f>COUNT(D5:D45)</x:f>
        <x:v>41</x:v>
      </x:c>
    </x:row>
    <x:row r="48">
      <x:c r="A48" s="18" t="str">
        <x:v>SUM</x:v>
      </x:c>
      <x:c r="B48" s="18" t="str">
        <x:v>Sum of advertised midpoints</x:v>
      </x:c>
      <x:c r="D48" s="22" t="n">
        <x:f>SUM(D5:D45)</x:f>
        <x:v>36002.5</x:v>
      </x:c>
    </x:row>
    <x:row r="49">
      <x:c r="A49" s="18" t="str">
        <x:v>MEAN</x:v>
      </x:c>
      <x:c r="B49" s="18" t="str">
        <x:v>Mean advertised midpoint</x:v>
      </x:c>
      <x:c r="D49" s="22" t="n">
        <x:f>AVERAGE(D5:D45)</x:f>
        <x:v>878.109756097561</x:v>
      </x:c>
    </x:row>
    <x:row r="50">
      <x:c r="A50" s="18" t="str">
        <x:v>MEDIAN</x:v>
      </x:c>
      <x:c r="B50" s="18" t="str">
        <x:v>Median advertised midpoint</x:v>
      </x:c>
      <x:c r="D50" s="22" t="n">
        <x:f>MEDIAN(D5:D45)</x:f>
        <x:v>850</x:v>
      </x:c>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FormatPr defaultRowHeight="15"/>
  <x:cols>
    <x:col min="1" max="1" width="15" hidden="0" customWidth="1"/>
    <x:col min="2" max="2" width="38" hidden="0" customWidth="1"/>
    <x:col min="3" max="3" width="17" hidden="0" customWidth="1"/>
    <x:col min="4" max="4" width="13" hidden="0" customWidth="1"/>
    <x:col min="5" max="5" width="13" hidden="0" customWidth="1"/>
    <x:col min="6" max="6" width="42" hidden="0" customWidth="1"/>
    <x:col min="7" max="7" width="16" hidden="0" customWidth="1"/>
    <x:col min="8" max="8" width="38" hidden="0" customWidth="1"/>
    <x:col min="9" max="9" width="45" hidden="0" customWidth="1"/>
    <x:col min="10" max="10" width="12" hidden="0" customWidth="1"/>
    <x:col min="11" max="11" width="12" hidden="0" customWidth="1"/>
  </x:cols>
  <x:sheetData>
    <x:row r="1">
      <x:c r="A1" s="3" t="str">
        <x:v>Utility Audit — Explicitly States All Utilities Included</x:v>
      </x:c>
    </x:row>
    <x:row r="2">
      <x:c r="A2" s="6" t="str">
        <x:v>8 of 74 listings (10.8%) explicitly advertise all utilities included. Green rows are the 6 that also explicitly include internet or Wi-Fi; their median advertised midpoint is $800.</x:v>
      </x:c>
    </x:row>
    <x:row r="4">
      <x:c r="A4" s="10" t="str">
        <x:v>Listing ID</x:v>
      </x:c>
      <x:c r="B4" s="10" t="str">
        <x:v>Listing</x:v>
      </x:c>
      <x:c r="C4" s="10" t="str">
        <x:v>Advertised price</x:v>
      </x:c>
      <x:c r="D4" s="10" t="str">
        <x:v>Midpoint</x:v>
      </x:c>
      <x:c r="E4" s="10" t="str">
        <x:v>Distance (mi)</x:v>
      </x:c>
      <x:c r="F4" s="10" t="str">
        <x:v>All-utilities evidence</x:v>
      </x:c>
      <x:c r="G4" s="10" t="str">
        <x:v>Internet/Wi-Fi?</x:v>
      </x:c>
      <x:c r="H4" s="10" t="str">
        <x:v>Internet/Wi-Fi evidence</x:v>
      </x:c>
      <x:c r="I4" s="10" t="str">
        <x:v>Original listing URL</x:v>
      </x:c>
      <x:c r="J4" s="10" t="str">
        <x:v>Rent low</x:v>
      </x:c>
      <x:c r="K4" s="10" t="str">
        <x:v>Rent high</x:v>
      </x:c>
    </x:row>
    <x:row r="5">
      <x:c r="A5" s="24" t="str">
        <x:v>ocpw46rjcl</x:v>
      </x:c>
      <x:c r="B5" s="24" t="str">
        <x:v>Brand New Luxury Furnished Townhome | 4 Bed /  3.5 Bath | 5 Min to NC State &amp; 3 Mins to Fenton +shop</x:v>
      </x:c>
      <x:c r="C5" s="24" t="str">
        <x:v>$900 - $1,050</x:v>
      </x:c>
      <x:c r="D5" s="25" t="n">
        <x:v>975</x:v>
      </x:c>
      <x:c r="E5" s="26" t="n">
        <x:v>3.335</x:v>
      </x:c>
      <x:c r="F5" s="24" t="str">
        <x:v>All utilities included</x:v>
      </x:c>
      <x:c r="G5" s="30" t="str">
        <x:v>Yes</x:v>
      </x:c>
      <x:c r="H5" s="24" t="str">
        <x:v>High-speed internet included</x:v>
      </x:c>
      <x:c r="I5" s="24" t="str">
        <x:v>https://offcampus.dasa.ncsu.edu/housing/property/brand-new-luxury-furnished-townhome-4-bed-3-5-bath-5-min-to-nc-state-and-3-mins-to-fenton-shop/ocpw46rjcl</x:v>
      </x:c>
      <x:c r="J5" s="25" t="n">
        <x:v>900</x:v>
      </x:c>
      <x:c r="K5" s="25" t="n">
        <x:v>1050</x:v>
      </x:c>
    </x:row>
    <x:row r="6">
      <x:c r="A6" s="24" t="str">
        <x:v>ocpchygggd</x:v>
      </x:c>
      <x:c r="B6" s="24" t="str">
        <x:v>Hurry 2 Rooms Left! – 4BR/4BA Condo Near NC State  – All Utilities &amp; Internet Included!</x:v>
      </x:c>
      <x:c r="C6" s="24" t="str">
        <x:v>$695</x:v>
      </x:c>
      <x:c r="D6" s="25" t="n">
        <x:v>695</x:v>
      </x:c>
      <x:c r="E6" s="26" t="n">
        <x:v>2.192366298</x:v>
      </x:c>
      <x:c r="F6" s="24" t="str">
        <x:v>Rent is $695 per month per room and includes all utilities (electricity, water, and internet), with no hidden fees. Move-in is available February 2026</x:v>
      </x:c>
      <x:c r="G6" s="30" t="str">
        <x:v>Yes</x:v>
      </x:c>
      <x:c r="H6" s="24" t="str">
        <x:v>High-Speed Internet: Included | Rent is $695 per month per room and includes all utilities (electricity, water, and internet), with no hidden fees.</x:v>
      </x:c>
      <x:c r="I6" s="24" t="str">
        <x:v>https://offcampus.dasa.ncsu.edu/housing/property/hurry-2-rooms-left-4br-4ba-condo-near-nc-state-all-utilities-and-internet-included/ocpchygggd</x:v>
      </x:c>
      <x:c r="J6" s="25" t="n">
        <x:v>695</x:v>
      </x:c>
      <x:c r="K6" s="25" t="n">
        <x:v>695</x:v>
      </x:c>
    </x:row>
    <x:row r="7">
      <x:c r="A7" s="24" t="str">
        <x:v>ocpesl9n3p</x:v>
      </x:c>
      <x:c r="B7" s="24" t="str">
        <x:v>maisonNC --- Fully Furnished minutes away from Wolfline and Shopping</x:v>
      </x:c>
      <x:c r="C7" s="24" t="str">
        <x:v>$750</x:v>
      </x:c>
      <x:c r="D7" s="25" t="n">
        <x:v>750</x:v>
      </x:c>
      <x:c r="E7" s="26" t="n">
        <x:v>1.619349362</x:v>
      </x:c>
      <x:c r="F7" s="24" t="str">
        <x:v>All utilities, wifi (google fiber) and parking included in the rent.</x:v>
      </x:c>
      <x:c r="G7" s="30" t="str">
        <x:v>Yes</x:v>
      </x:c>
      <x:c r="H7" s="24" t="str">
        <x:v>All utilities, wifi (google fiber) and parking included in the rent.</x:v>
      </x:c>
      <x:c r="I7" s="24" t="str">
        <x:v>https://offcampus.dasa.ncsu.edu/housing/property/maisonnc-fully-furnished-minutes-away-from-wolfline-and-shopping/ocpesl9n3p</x:v>
      </x:c>
      <x:c r="J7" s="25" t="n">
        <x:v>750</x:v>
      </x:c>
      <x:c r="K7" s="25" t="n">
        <x:v>750</x:v>
      </x:c>
    </x:row>
    <x:row r="8">
      <x:c r="A8" s="24" t="str">
        <x:v>ocpcm3jede</x:v>
      </x:c>
      <x:c r="B8" s="24" t="str">
        <x:v>maisonNC --- Fully Furnished minutes away from Wolfline and Shopping</x:v>
      </x:c>
      <x:c r="C8" s="24" t="str">
        <x:v>$750</x:v>
      </x:c>
      <x:c r="D8" s="25" t="n">
        <x:v>750</x:v>
      </x:c>
      <x:c r="E8" s="26" t="n">
        <x:v>1.600371218</x:v>
      </x:c>
      <x:c r="F8" s="24" t="str">
        <x:v>Rent includes all utilities, wifi and parking.</x:v>
      </x:c>
      <x:c r="G8" s="30" t="str">
        <x:v>Yes</x:v>
      </x:c>
      <x:c r="H8" s="24" t="str">
        <x:v>High-Speed Internet: Included | Rent includes all utilities, wifi and parking.</x:v>
      </x:c>
      <x:c r="I8" s="24" t="str">
        <x:v>https://offcampus.dasa.ncsu.edu/housing/property/maisonnc-fully-furnished-minutes-away-from-wolfline-and-shopping/ocpcm3jede</x:v>
      </x:c>
      <x:c r="J8" s="25" t="n">
        <x:v>750</x:v>
      </x:c>
      <x:c r="K8" s="25" t="n">
        <x:v>750</x:v>
      </x:c>
    </x:row>
    <x:row r="9">
      <x:c r="A9" s="24" t="str">
        <x:v>ocpxdxd79p</x:v>
      </x:c>
      <x:c r="B9" s="24" t="str">
        <x:v>4BR/4BA Condo| On Wolfline | Preleasing 27-28 Special $850 Util/Parking Incld | Mile to Campus</x:v>
      </x:c>
      <x:c r="C9" s="24" t="str">
        <x:v>$875</x:v>
      </x:c>
      <x:c r="D9" s="25" t="n">
        <x:v>875</x:v>
      </x:c>
      <x:c r="E9" s="26" t="n">
        <x:v>0.655411437</x:v>
      </x:c>
      <x:c r="F9" s="24" t="str">
        <x:v>* All utilities included: Electric, water, trash, and unlimited Google Fiber High-Speed Internet</x:v>
      </x:c>
      <x:c r="G9" s="30" t="str">
        <x:v>Yes</x:v>
      </x:c>
      <x:c r="H9" s="24" t="str">
        <x:v>High-Speed Internet: Included | * All utilities included: Electric, water, trash, and unlimited Google Fiber High-Speed Internet</x:v>
      </x:c>
      <x:c r="I9" s="24" t="str">
        <x:v>https://offcampus.dasa.ncsu.edu/housing/property/4br-4ba-condo-on-wolfline-preleasing-27-28-special-850-util-parking-incld-mile-to-campus/ocpxdxd79p</x:v>
      </x:c>
      <x:c r="J9" s="25" t="n">
        <x:v>875</x:v>
      </x:c>
      <x:c r="K9" s="25" t="n">
        <x:v>875</x:v>
      </x:c>
    </x:row>
    <x:row r="10">
      <x:c r="A10" s="6" t="str">
        <x:v>ocpepvxvln</x:v>
      </x:c>
      <x:c r="B10" s="6" t="str">
        <x:v>Village Green Student Living</x:v>
      </x:c>
      <x:c r="C10" s="6" t="str">
        <x:v>$831</x:v>
      </x:c>
      <x:c r="D10" s="14" t="n">
        <x:v>831</x:v>
      </x:c>
      <x:c r="E10" s="16" t="n">
        <x:v>1.815869405</x:v>
      </x:c>
      <x:c r="F10" s="6" t="str">
        <x:v>Subletting one room in a four bedroom apartment near NC State's campus. The unit comes with a washer and dryer, private bathrooms for each resident, a full kitchen, and living room. The apartment is fully furnished apart from a bed. The price of parking and all utilities are included in the base rent fee of ~$831/month.</x:v>
      </x:c>
      <x:c r="G10" s="6" t="str">
        <x:v>No</x:v>
      </x:c>
      <x:c r="H10" s="6" t="str">
        <x:v>Not specifically mentioned in saved material</x:v>
      </x:c>
      <x:c r="I10" s="6" t="str">
        <x:v>https://offcampus.dasa.ncsu.edu/housing/property/village-green-student-living/ocpepvxvln</x:v>
      </x:c>
      <x:c r="J10" s="14" t="n">
        <x:v>831</x:v>
      </x:c>
      <x:c r="K10" s="14" t="n">
        <x:v>831</x:v>
      </x:c>
    </x:row>
    <x:row r="11">
      <x:c r="A11" s="24" t="str">
        <x:v>ocp0gblz91</x:v>
      </x:c>
      <x:c r="B11" s="24" t="str">
        <x:v>Great value in beautiful SW Raleigh</x:v>
      </x:c>
      <x:c r="C11" s="24" t="str">
        <x:v>$850</x:v>
      </x:c>
      <x:c r="D11" s="25" t="n">
        <x:v>850</x:v>
      </x:c>
      <x:c r="E11" s="26" t="n">
        <x:v>3.495</x:v>
      </x:c>
      <x:c r="F11" s="24" t="str">
        <x:v>Are you looking for housing for the summer or the Fall? Here's a great opportunity for just $850 per month. Your own wing of a nice modern townhouse, including a partially furnished bedroom (comfortable queen size bed and night-stand), full spacious private bathroom, and an additional bonus bedroom you can use for studying, gaming, or extra living space. You will also have full access to the kitchen and dining areas, living room, screened in porch, and washer and dryer. Free parking on the driveway. ALL utilities included (i.e., high speed internet, electricity/gas, water, etc.). There is only one male room-mate in the townhouse who is a graduate student, and is friendly, private and respectful. He has a friendly dog that is usually in his bedroom. Amenities such as pool and walking trail included in the very nice townhouse community. Great location - southwest Raleigh (Silver Lake) and just a 10 minute drive to NC State, 5 minutes to Cary shopping/restaurants, and very close to I40.  Suitable for an undergraduate or graduate student or young professional. Please call Craig at 310-849-3064 to view the house or with any questions.</x:v>
      </x:c>
      <x:c r="G11" s="30" t="str">
        <x:v>Yes</x:v>
      </x:c>
      <x:c r="H11" s="24" t="str">
        <x:v>ALL utilities included (i.e., high speed internet, electricity/gas, water, etc.).</x:v>
      </x:c>
      <x:c r="I11" s="24" t="str">
        <x:v>https://offcampus.dasa.ncsu.edu/housing/property/great-value-in-beautiful-sw-raleigh/ocp0gblz91</x:v>
      </x:c>
      <x:c r="J11" s="25" t="n">
        <x:v>850</x:v>
      </x:c>
      <x:c r="K11" s="25" t="n">
        <x:v>850</x:v>
      </x:c>
    </x:row>
    <x:row r="12">
      <x:c r="A12" s="6" t="str">
        <x:v>ocp67ldb5s</x:v>
      </x:c>
      <x:c r="B12" s="6" t="str">
        <x:v>The Wilde</x:v>
      </x:c>
      <x:c r="C12" s="6" t="str">
        <x:v>$860</x:v>
      </x:c>
      <x:c r="D12" s="14" t="n">
        <x:v>860</x:v>
      </x:c>
      <x:c r="E12" s="16" t="n">
        <x:v>2.038270328</x:v>
      </x:c>
      <x:c r="F12" s="6" t="str">
        <x:v>The apartment is a 4 bed / 4 bath unit with a common room, kitchen with all you need, and in unit laundry. Each bedroom has its own full bathroom, closet, bed frame, and desk. The space is fully furnished. The $860 rent is all inclusive of fees and utilities outside of 1 time administrative fees. I am graduating in December, so the applicant will take over with the 3 existing roommates from January through the end of July.</x:v>
      </x:c>
      <x:c r="G12" s="6" t="str">
        <x:v>No</x:v>
      </x:c>
      <x:c r="H12" s="6" t="str">
        <x:v>Not specifically mentioned in saved material</x:v>
      </x:c>
      <x:c r="I12" s="6" t="str">
        <x:v>https://offcampus.dasa.ncsu.edu/housing/property/the-wilde/ocp67ldb5s</x:v>
      </x:c>
      <x:c r="J12" s="14" t="n">
        <x:v>860</x:v>
      </x:c>
      <x:c r="K12" s="14" t="n">
        <x:v>860</x:v>
      </x:c>
    </x:row>
    <x:row r="14">
      <x:c r="A14" s="18" t="str">
        <x:v>COUNT</x:v>
      </x:c>
      <x:c r="B14" s="18" t="str">
        <x:v>All-utilities listings</x:v>
      </x:c>
      <x:c r="D14" s="20" t="n">
        <x:f>COUNT(D5:D12)</x:f>
        <x:v>8</x:v>
      </x:c>
    </x:row>
    <x:row r="15">
      <x:c r="A15" s="18" t="str">
        <x:v>SUM</x:v>
      </x:c>
      <x:c r="B15" s="18" t="str">
        <x:v>Sum of advertised midpoints</x:v>
      </x:c>
      <x:c r="D15" s="22" t="n">
        <x:f>SUM(D5:D12)</x:f>
        <x:v>6586</x:v>
      </x:c>
    </x:row>
    <x:row r="16">
      <x:c r="A16" s="18" t="str">
        <x:v>MEAN</x:v>
      </x:c>
      <x:c r="B16" s="18" t="str">
        <x:v>Mean advertised midpoint</x:v>
      </x:c>
      <x:c r="D16" s="22" t="n">
        <x:f>AVERAGE(D5:D12)</x:f>
        <x:v>823.25</x:v>
      </x:c>
    </x:row>
    <x:row r="17">
      <x:c r="A17" s="18" t="str">
        <x:v>SUM ÷ COUNT CHECK</x:v>
      </x:c>
      <x:c r="B17" s="18" t="str">
        <x:v>Explicit check</x:v>
      </x:c>
      <x:c r="D17" s="22" t="n">
        <x:f>D15/D14</x:f>
        <x:v>823.25</x:v>
      </x:c>
    </x:row>
    <x:row r="18">
      <x:c r="A18" s="18" t="str">
        <x:v>MEDIAN</x:v>
      </x:c>
      <x:c r="B18" s="18" t="str">
        <x:v>Median advertised midpoint</x:v>
      </x:c>
      <x:c r="D18" s="22" t="n">
        <x:f>MEDIAN(D5:D12)</x:f>
        <x:v>840.5</x:v>
      </x:c>
    </x:row>
    <x:row r="20">
      <x:c r="A20" s="33" t="str">
        <x:v>GREEN ROWS — ALL UTILITIES + INTERNET/WI-FI (6)</x:v>
      </x:c>
    </x:row>
    <x:row r="21">
      <x:c r="A21" s="18" t="str">
        <x:v>COUNT</x:v>
      </x:c>
      <x:c r="B21" s="18" t="str">
        <x:v>Highlighted listings</x:v>
      </x:c>
      <x:c r="D21" s="20" t="n">
        <x:f>COUNT(D5,D6,D7,D8,D9,D11)</x:f>
        <x:v>6</x:v>
      </x:c>
    </x:row>
    <x:row r="22">
      <x:c r="A22" s="18" t="str">
        <x:v>SUM</x:v>
      </x:c>
      <x:c r="B22" s="18" t="str">
        <x:v>Sum of advertised midpoints</x:v>
      </x:c>
      <x:c r="D22" s="22" t="n">
        <x:f>SUM(D5,D6,D7,D8,D9,D11)</x:f>
        <x:v>4895</x:v>
      </x:c>
    </x:row>
    <x:row r="23">
      <x:c r="A23" s="18" t="str">
        <x:v>MEAN</x:v>
      </x:c>
      <x:c r="B23" s="18" t="str">
        <x:v>Mean advertised midpoint</x:v>
      </x:c>
      <x:c r="D23" s="22" t="n">
        <x:f>AVERAGE(D5,D6,D7,D8,D9,D11)</x:f>
        <x:v>815.8333333333334</x:v>
      </x:c>
    </x:row>
    <x:row r="24">
      <x:c r="A24" s="18" t="str">
        <x:v>MEDIAN</x:v>
      </x:c>
      <x:c r="B24" s="18" t="str">
        <x:v>Median advertised midpoint</x:v>
      </x:c>
      <x:c r="D24" s="22" t="n">
        <x:f>MEDIAN(D5,D6,D7,D8,D9,D11)</x:f>
        <x:v>800</x:v>
      </x:c>
    </x:row>
  </x:sheetData>
  <x:mergeCells>
    <x:mergeCell ref="A1:K1"/>
    <x:mergeCell ref="A2:K2"/>
    <x:mergeCell ref="A20:D20"/>
  </x:mergeCells>
  <x:pageMargins left="0.7" right="0.7" top="0.75" bottom="0.75" header="0.3" footer="0.3"/>
</x:worksheet>
</file>
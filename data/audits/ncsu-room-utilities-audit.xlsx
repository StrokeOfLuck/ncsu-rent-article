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b32a58a67414390" /></Relationships>
</file>

<file path=xl/workbook.xml><?xml version="1.0" encoding="utf-8"?>
<x:workbook xmlns:x="http://schemas.openxmlformats.org/spreadsheetml/2006/main">
  <x:sheets>
    <x:sheet xmlns:r="http://schemas.openxmlformats.org/officeDocument/2006/relationships" name="Any utility included (41)" sheetId="1" r:id="Ra95367334d9d467d"/>
    <x:sheet xmlns:r="http://schemas.openxmlformats.org/officeDocument/2006/relationships" name="All utilities stated (8)" sheetId="2" r:id="R584273d1e0c9422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000"/>
  </x:numFmts>
  <x:fonts count="4">
    <x:font>
      <x:sz val="11"/>
      <x:name val="Carlito"/>
    </x:font>
    <x:font>
      <x:b/>
      <x:sz val="14"/>
      <x:color rgb="FFFFFFFF"/>
      <x:name val="Carlito"/>
    </x:font>
    <x:font>
      <x:sz val="10"/>
      <x:color rgb="FF4F4A43"/>
      <x:name val="Carlito"/>
    </x:font>
    <x:font>
      <x:b/>
      <x:sz val="11"/>
      <x:name val="Carlito"/>
    </x:font>
  </x:fonts>
  <x:fills count="6">
    <x:fill>
      <x:patternFill patternType="none"/>
    </x:fill>
    <x:fill>
      <x:patternFill patternType="gray125"/>
    </x:fill>
    <x:fill>
      <x:patternFill patternType="solid">
        <x:fgColor rgb="FF8B1F2D"/>
      </x:patternFill>
    </x:fill>
    <x:fill>
      <x:patternFill patternType="solid">
        <x:fgColor rgb="FFF8F6F1"/>
      </x:patternFill>
    </x:fill>
    <x:fill>
      <x:patternFill patternType="solid">
        <x:fgColor rgb="FFE9E4DB"/>
      </x:patternFill>
    </x:fill>
    <x:fill>
      <x:patternFill patternType="solid">
        <x:fgColor rgb="FFF3F0E9"/>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0" fontId="0" fillId="5" borderId="0" xfId="0" applyNumberFormat="1" applyFont="1" applyFill="1" applyBorder="1"/>
    <x:xf numFmtId="0" fontId="3" fillId="5" borderId="0" xfId="0" applyNumberFormat="1" applyFont="1" applyFill="1" applyBorder="1"/>
    <x:xf numFmtId="0" fontId="0" fillId="5" borderId="1" xfId="0" applyNumberFormat="1" applyFont="1" applyFill="1" applyBorder="1"/>
    <x:xf numFmtId="0" fontId="3" fillId="5" borderId="1" xfId="0" applyNumberFormat="1" applyFont="1" applyFill="1" applyBorder="1"/>
    <x:xf numFmtId="200" fontId="3" fillId="5" borderId="0" xfId="0" applyNumberFormat="1" applyFont="1" applyFill="1" applyBorder="1"/>
    <x:xf numFmtId="200" fontId="3" fillId="5" borderId="1"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16f5de6101c43f2" /><Relationship Type="http://schemas.openxmlformats.org/officeDocument/2006/relationships/theme" Target="/xl/theme/theme1.xml" Id="R8fa9398db4964e9c" /><Relationship Type="http://schemas.openxmlformats.org/officeDocument/2006/relationships/sharedStrings" Target="/xl/sharedStrings.xml" Id="Rcc961ed42f2a4ca5" /><Relationship Type="http://schemas.openxmlformats.org/officeDocument/2006/relationships/worksheet" Target="/xl/worksheets/sheet1.xml" Id="Ra95367334d9d467d" /><Relationship Type="http://schemas.openxmlformats.org/officeDocument/2006/relationships/worksheet" Target="/xl/worksheets/sheet2.xml" Id="R584273d1e0c942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4" hidden="0" customWidth="1"/>
    <x:col min="2" max="2" width="34" hidden="0" customWidth="1"/>
    <x:col min="3" max="3" width="15" hidden="0" customWidth="1"/>
    <x:col min="4" max="4" width="12" hidden="0" customWidth="1"/>
    <x:col min="5" max="5" width="12" hidden="0" customWidth="1"/>
    <x:col min="6" max="6" width="12" hidden="0" customWidth="1"/>
    <x:col min="7" max="7" width="12" hidden="0" customWidth="1"/>
    <x:col min="8" max="8" width="28" hidden="0" customWidth="1"/>
    <x:col min="9" max="9" width="18" hidden="0" customWidth="1"/>
    <x:col min="10" max="10" width="50" hidden="0" customWidth="1"/>
  </x:cols>
  <x:sheetData>
    <x:row r="1">
      <x:c r="A1" s="4" t="str">
        <x:v>Utility Audit — At Least One Core Utility Included</x:v>
      </x:c>
      <x:c r="B1" s="4"/>
      <x:c r="C1" s="4"/>
      <x:c r="D1" s="4"/>
      <x:c r="E1" s="4"/>
      <x:c r="F1" s="4"/>
      <x:c r="G1" s="4"/>
      <x:c r="H1" s="4"/>
      <x:c r="I1" s="4"/>
      <x:c r="J1" s="4"/>
    </x:row>
    <x:row r="2">
      <x:c r="A2" s="11" t="str">
        <x:v>41 of 76 listings explicitly establish at least one core utility as included through saved portal utility fields, saved listing wording, or both.</x:v>
      </x:c>
      <x:c r="B2" s="11"/>
      <x:c r="C2" s="11"/>
      <x:c r="D2" s="11"/>
      <x:c r="E2" s="11"/>
      <x:c r="F2" s="11"/>
      <x:c r="G2" s="11"/>
      <x:c r="H2" s="11"/>
      <x:c r="I2" s="11"/>
      <x:c r="J2" s="11"/>
    </x:row>
    <x:row r="3">
      <x:c r="A3" s="11"/>
      <x:c r="B3" s="11"/>
      <x:c r="C3" s="11"/>
      <x:c r="D3" s="11"/>
      <x:c r="E3" s="11"/>
      <x:c r="F3" s="11"/>
      <x:c r="G3" s="11"/>
      <x:c r="H3" s="11"/>
      <x:c r="I3" s="11"/>
      <x:c r="J3" s="11"/>
    </x:row>
    <x:row r="5">
      <x:c r="A5" s="18" t="str">
        <x:v>Listing ID</x:v>
      </x:c>
      <x:c r="B5" s="18" t="str">
        <x:v>Listing</x:v>
      </x:c>
      <x:c r="C5" s="18" t="str">
        <x:v>Advertised price</x:v>
      </x:c>
      <x:c r="D5" s="18" t="str">
        <x:v>Rent low</x:v>
      </x:c>
      <x:c r="E5" s="18" t="str">
        <x:v>Rent high</x:v>
      </x:c>
      <x:c r="F5" s="18" t="str">
        <x:v>Midpoint</x:v>
      </x:c>
      <x:c r="G5" s="18" t="str">
        <x:v>Distance (mi)</x:v>
      </x:c>
      <x:c r="H5" s="18" t="str">
        <x:v>Basis</x:v>
      </x:c>
      <x:c r="I5" s="18" t="str">
        <x:v>All utilities explicit?</x:v>
      </x:c>
      <x:c r="J5" s="18" t="str">
        <x:v>Evidence</x:v>
      </x:c>
    </x:row>
    <x:row r="6">
      <x:c r="A6" s="32" t="str">
        <x:v>ocpet5b7hm</x:v>
      </x:c>
      <x:c r="B6" s="32" t="str">
        <x:v>Modern/High Ceilings 2bed/2 bath</x:v>
      </x:c>
      <x:c r="C6" s="32" t="str">
        <x:v>$1,250</x:v>
      </x:c>
      <x:c r="D6" s="33" t="n">
        <x:v>1250</x:v>
      </x:c>
      <x:c r="E6" s="33" t="n">
        <x:v>1250</x:v>
      </x:c>
      <x:c r="F6" s="33" t="n">
        <x:f>AVERAGE(D6:E6)</x:f>
        <x:v>1250</x:v>
      </x:c>
      <x:c r="G6" s="34" t="n">
        <x:v>1.026552005</x:v>
      </x:c>
      <x:c r="H6" s="32" t="str">
        <x:v>Structured utility fields</x:v>
      </x:c>
      <x:c r="I6" s="32" t="str">
        <x:v>No</x:v>
      </x:c>
      <x:c r="J6" s="32" t="str">
        <x:v>Electricity: Included
Gas: Included
Heat: Included
Trash Removal: Included
Water/Sewer: Included</x:v>
      </x:c>
    </x:row>
    <x:row r="7">
      <x:c r="A7" s="32" t="str">
        <x:v>7e6kx1w</x:v>
      </x:c>
      <x:c r="B7" s="32" t="str">
        <x:v>Centennial Ridge Student Housing</x:v>
      </x:c>
      <x:c r="C7" s="32" t="str">
        <x:v>$599 - $2,157</x:v>
      </x:c>
      <x:c r="D7" s="33" t="n">
        <x:v>599</x:v>
      </x:c>
      <x:c r="E7" s="33" t="n">
        <x:v>2157</x:v>
      </x:c>
      <x:c r="F7" s="33" t="n">
        <x:f>AVERAGE(D7:E7)</x:f>
        <x:v>1378</x:v>
      </x:c>
      <x:c r="G7" s="34" t="n">
        <x:v>2.372144719</x:v>
      </x:c>
      <x:c r="H7" s="32" t="str">
        <x:v>Structured utility fields</x:v>
      </x:c>
      <x:c r="I7" s="32" t="str">
        <x:v>No</x:v>
      </x:c>
      <x:c r="J7" s="32" t="str">
        <x:v>Air Conditioning: Included
Electricity: Included
Heat: Included
High-Speed Internet: Included
Water/Sewer: Included</x:v>
      </x:c>
    </x:row>
    <x:row r="8">
      <x:c r="A8" s="32" t="str">
        <x:v>ocpw46rjcl</x:v>
      </x:c>
      <x:c r="B8" s="32" t="str">
        <x:v>Brand New Luxury Furnished Townhome | 4 Bed /  3.5 Bath | 5 Min to NC State &amp; 3 Mins to Fenton +shop</x:v>
      </x:c>
      <x:c r="C8" s="32" t="str">
        <x:v>$900 - $1,050</x:v>
      </x:c>
      <x:c r="D8" s="33" t="n">
        <x:v>900</x:v>
      </x:c>
      <x:c r="E8" s="33" t="n">
        <x:v>1050</x:v>
      </x:c>
      <x:c r="F8" s="33" t="n">
        <x:f>AVERAGE(D8:E8)</x:f>
        <x:v>975</x:v>
      </x:c>
      <x:c r="G8" s="34" t="n">
        <x:v>3.335</x:v>
      </x:c>
      <x:c r="H8" s="32" t="str">
        <x:v>Saved description</x:v>
      </x:c>
      <x:c r="I8" s="32" t="str">
        <x:v>Yes</x:v>
      </x:c>
      <x:c r="J8" s="32" t="str">
        <x:v>All utilities included</x:v>
      </x:c>
    </x:row>
    <x:row r="9">
      <x:c r="A9" s="32" t="str">
        <x:v>ocpchygggd</x:v>
      </x:c>
      <x:c r="B9" s="32" t="str">
        <x:v>Hurry 2 Rooms Left! – 4BR/4BA Condo Near NC State  – All Utilities &amp; Internet Included!</x:v>
      </x:c>
      <x:c r="C9" s="32" t="str">
        <x:v>$695</x:v>
      </x:c>
      <x:c r="D9" s="33" t="n">
        <x:v>695</x:v>
      </x:c>
      <x:c r="E9" s="33" t="n">
        <x:v>695</x:v>
      </x:c>
      <x:c r="F9" s="33" t="n">
        <x:f>AVERAGE(D9:E9)</x:f>
        <x:v>695</x:v>
      </x:c>
      <x:c r="G9" s="34" t="n">
        <x:v>2.192366298</x:v>
      </x:c>
      <x:c r="H9" s="32" t="str">
        <x:v>Structured utility fields + saved description</x:v>
      </x:c>
      <x:c r="I9" s="32" t="str">
        <x:v>Yes</x:v>
      </x:c>
      <x:c r="J9" s="32" t="str">
        <x:v>Rent is $695 per month per room and includes all utilities (electricity, water, and internet), with no hidden fees. Move-in is available February 2026</x:v>
      </x:c>
    </x:row>
    <x:row r="10">
      <x:c r="A10" s="32" t="str">
        <x:v>ocpesl9n3p</x:v>
      </x:c>
      <x:c r="B10" s="32" t="str">
        <x:v>maisonNC --- Fully Furnished minutes away from Wolfline and Shopping</x:v>
      </x:c>
      <x:c r="C10" s="32" t="str">
        <x:v>$750</x:v>
      </x:c>
      <x:c r="D10" s="33" t="n">
        <x:v>750</x:v>
      </x:c>
      <x:c r="E10" s="33" t="n">
        <x:v>750</x:v>
      </x:c>
      <x:c r="F10" s="33" t="n">
        <x:f>AVERAGE(D10:E10)</x:f>
        <x:v>750</x:v>
      </x:c>
      <x:c r="G10" s="34" t="n">
        <x:v>1.619349362</x:v>
      </x:c>
      <x:c r="H10" s="32" t="str">
        <x:v>Saved description</x:v>
      </x:c>
      <x:c r="I10" s="32" t="str">
        <x:v>Yes</x:v>
      </x:c>
      <x:c r="J10" s="32" t="str">
        <x:v>All utilities, wifi (google fiber) and parking included in the rent.</x:v>
      </x:c>
    </x:row>
    <x:row r="11">
      <x:c r="A11" s="32" t="str">
        <x:v>ocpcm3jede</x:v>
      </x:c>
      <x:c r="B11" s="32" t="str">
        <x:v>maisonNC --- Fully Furnished minutes away from Wolfline and Shopping</x:v>
      </x:c>
      <x:c r="C11" s="32" t="str">
        <x:v>$750</x:v>
      </x:c>
      <x:c r="D11" s="33" t="n">
        <x:v>750</x:v>
      </x:c>
      <x:c r="E11" s="33" t="n">
        <x:v>750</x:v>
      </x:c>
      <x:c r="F11" s="33" t="n">
        <x:f>AVERAGE(D11:E11)</x:f>
        <x:v>750</x:v>
      </x:c>
      <x:c r="G11" s="34" t="n">
        <x:v>1.600371218</x:v>
      </x:c>
      <x:c r="H11" s="32" t="str">
        <x:v>Structured utility fields + saved description</x:v>
      </x:c>
      <x:c r="I11" s="32" t="str">
        <x:v>Yes</x:v>
      </x:c>
      <x:c r="J11" s="32" t="str">
        <x:v>Rent includes all utilities, wifi and parking.</x:v>
      </x:c>
    </x:row>
    <x:row r="12">
      <x:c r="A12" s="32" t="str">
        <x:v>ocpnx5c0kn</x:v>
      </x:c>
      <x:c r="B12" s="32" t="str">
        <x:v>Modern &amp; spacious 3BR/3BA Apartment w/View</x:v>
      </x:c>
      <x:c r="C12" s="32" t="str">
        <x:v>$1,000</x:v>
      </x:c>
      <x:c r="D12" s="33" t="n">
        <x:v>1000</x:v>
      </x:c>
      <x:c r="E12" s="33" t="n">
        <x:v>1000</x:v>
      </x:c>
      <x:c r="F12" s="33" t="n">
        <x:f>AVERAGE(D12:E12)</x:f>
        <x:v>1000</x:v>
      </x:c>
      <x:c r="G12" s="34" t="n">
        <x:v>1.036129373</x:v>
      </x:c>
      <x:c r="H12" s="32" t="str">
        <x:v>Structured utility fields</x:v>
      </x:c>
      <x:c r="I12" s="32" t="str">
        <x:v>No</x:v>
      </x:c>
      <x:c r="J12" s="32" t="str">
        <x:v>Electricity: Included
Gas: Included
Heat: Included
High-Speed Internet: Included
Trash Removal: Included
Water/Sewer: Included</x:v>
      </x:c>
    </x:row>
    <x:row r="13">
      <x:c r="A13" s="32" t="str">
        <x:v>ocpjeweyz6</x:v>
      </x:c>
      <x:c r="B13" s="32" t="str">
        <x:v>All Girls Unit - Room with Private Bathroom at  University Woods at Centennial Condominiums</x:v>
      </x:c>
      <x:c r="C13" s="32" t="str">
        <x:v>$645</x:v>
      </x:c>
      <x:c r="D13" s="33" t="n">
        <x:v>645</x:v>
      </x:c>
      <x:c r="E13" s="33" t="n">
        <x:v>645</x:v>
      </x:c>
      <x:c r="F13" s="33" t="n">
        <x:f>AVERAGE(D13:E13)</x:f>
        <x:v>645</x:v>
      </x:c>
      <x:c r="G13" s="34" t="n">
        <x:v>2.188347488</x:v>
      </x:c>
      <x:c r="H13" s="32" t="str">
        <x:v>Structured utility fields + saved description</x:v>
      </x:c>
      <x:c r="I13" s="32" t="str">
        <x:v>No</x:v>
      </x:c>
      <x:c r="J13" s="32" t="str">
        <x:v>Included: sewer, trash
Not included: Water, Internet and Electricity (shared among roommates)</x:v>
      </x:c>
    </x:row>
    <x:row r="14">
      <x:c r="A14" s="32" t="str">
        <x:v>0smdl31</x:v>
      </x:c>
      <x:c r="B14" s="32" t="str">
        <x:v>Paloma Raleigh</x:v>
      </x:c>
      <x:c r="C14" s="32" t="str">
        <x:v>$749 - $1,599</x:v>
      </x:c>
      <x:c r="D14" s="33" t="n">
        <x:v>749</x:v>
      </x:c>
      <x:c r="E14" s="33" t="n">
        <x:v>1599</x:v>
      </x:c>
      <x:c r="F14" s="33" t="n">
        <x:f>AVERAGE(D14:E14)</x:f>
        <x:v>1174</x:v>
      </x:c>
      <x:c r="G14" s="34" t="n">
        <x:v>2.624931081</x:v>
      </x:c>
      <x:c r="H14" s="32" t="str">
        <x:v>Structured utility fields</x:v>
      </x:c>
      <x:c r="I14" s="32" t="str">
        <x:v>No</x:v>
      </x:c>
      <x:c r="J14" s="32" t="str">
        <x:v>Air Conditioning: Included
Cable: Included
Gas: Included
Heat: Included
High-Speed Internet: Included
Trash Removal: Included
Water/Sewer: Included</x:v>
      </x:c>
    </x:row>
    <x:row r="15">
      <x:c r="A15" s="32" t="str">
        <x:v>ocppjxdd3r</x:v>
      </x:c>
      <x:c r="B15" s="32" t="str">
        <x:v>Collegeview Duplex--Brand New Luxury Housing within walking distance to NCSU</x:v>
      </x:c>
      <x:c r="C15" s="32" t="str">
        <x:v>$900 - $950</x:v>
      </x:c>
      <x:c r="D15" s="33" t="n">
        <x:v>900</x:v>
      </x:c>
      <x:c r="E15" s="33" t="n">
        <x:v>950</x:v>
      </x:c>
      <x:c r="F15" s="33" t="n">
        <x:f>AVERAGE(D15:E15)</x:f>
        <x:v>925</x:v>
      </x:c>
      <x:c r="G15" s="34" t="n">
        <x:v>0.249152533</x:v>
      </x:c>
      <x:c r="H15" s="32" t="str">
        <x:v>Structured utility fields</x:v>
      </x:c>
      <x:c r="I15" s="32" t="str">
        <x:v>No</x:v>
      </x:c>
      <x:c r="J15" s="32" t="str">
        <x:v>Recycling: Included
Trash Removal: Included</x:v>
      </x:c>
    </x:row>
    <x:row r="16">
      <x:c r="A16" s="32" t="str">
        <x:v>ocpe1n95cm</x:v>
      </x:c>
      <x:c r="B16" s="32" t="str">
        <x:v>Big Promotion w/best price ever. Move in Immediately . MarcomTowns. Great location nice</x:v>
      </x:c>
      <x:c r="C16" s="32" t="str">
        <x:v>$950</x:v>
      </x:c>
      <x:c r="D16" s="33" t="n">
        <x:v>950</x:v>
      </x:c>
      <x:c r="E16" s="33" t="n">
        <x:v>950</x:v>
      </x:c>
      <x:c r="F16" s="33" t="n">
        <x:f>AVERAGE(D16:E16)</x:f>
        <x:v>950</x:v>
      </x:c>
      <x:c r="G16" s="34" t="n">
        <x:v>0.243489368</x:v>
      </x:c>
      <x:c r="H16" s="32" t="str">
        <x:v>Structured utility fields</x:v>
      </x:c>
      <x:c r="I16" s="32" t="str">
        <x:v>No</x:v>
      </x:c>
      <x:c r="J16" s="32" t="str">
        <x:v>Recycling: Included
Trash Removal: Included</x:v>
      </x:c>
    </x:row>
    <x:row r="17">
      <x:c r="A17" s="32" t="str">
        <x:v>ocp2evl6hb</x:v>
      </x:c>
      <x:c r="B17" s="32" t="str">
        <x:v>University Oaks -</x:v>
      </x:c>
      <x:c r="C17" s="32" t="str">
        <x:v>$725</x:v>
      </x:c>
      <x:c r="D17" s="33" t="n">
        <x:v>725</x:v>
      </x:c>
      <x:c r="E17" s="33" t="n">
        <x:v>725</x:v>
      </x:c>
      <x:c r="F17" s="33" t="n">
        <x:f>AVERAGE(D17:E17)</x:f>
        <x:v>725</x:v>
      </x:c>
      <x:c r="G17" s="34" t="n">
        <x:v>0.440031949</x:v>
      </x:c>
      <x:c r="H17" s="32" t="str">
        <x:v>Structured utility fields + saved description</x:v>
      </x:c>
      <x:c r="I17" s="32" t="str">
        <x:v>No</x:v>
      </x:c>
      <x:c r="J17" s="32" t="str">
        <x:v>Parking, utilities, internet - included.</x:v>
      </x:c>
    </x:row>
    <x:row r="18">
      <x:c r="A18" s="32" t="str">
        <x:v>ocpvlydr3e</x:v>
      </x:c>
      <x:c r="B18" s="32" t="str">
        <x:v>Reavis ---Brand New Luxury Housing within walking distance to NCSU</x:v>
      </x:c>
      <x:c r="C18" s="32" t="str">
        <x:v>$925 - $975</x:v>
      </x:c>
      <x:c r="D18" s="33" t="n">
        <x:v>925</x:v>
      </x:c>
      <x:c r="E18" s="33" t="n">
        <x:v>975</x:v>
      </x:c>
      <x:c r="F18" s="33" t="n">
        <x:f>AVERAGE(D18:E18)</x:f>
        <x:v>950</x:v>
      </x:c>
      <x:c r="G18" s="34" t="n">
        <x:v>0.846079213</x:v>
      </x:c>
      <x:c r="H18" s="32" t="str">
        <x:v>Structured utility fields</x:v>
      </x:c>
      <x:c r="I18" s="32" t="str">
        <x:v>No</x:v>
      </x:c>
      <x:c r="J18" s="32" t="str">
        <x:v>Recycling: Included
Trash Removal: Included</x:v>
      </x:c>
    </x:row>
    <x:row r="19">
      <x:c r="A19" s="32" t="str">
        <x:v>ocpxdxd79p</x:v>
      </x:c>
      <x:c r="B19" s="32" t="str">
        <x:v>4BR/4BA Condo| On Wolfline | Preleasing 27-28 Special $850 Util/Parking Incld | Mile to Campus</x:v>
      </x:c>
      <x:c r="C19" s="32" t="str">
        <x:v>$875</x:v>
      </x:c>
      <x:c r="D19" s="33" t="n">
        <x:v>875</x:v>
      </x:c>
      <x:c r="E19" s="33" t="n">
        <x:v>875</x:v>
      </x:c>
      <x:c r="F19" s="33" t="n">
        <x:f>AVERAGE(D19:E19)</x:f>
        <x:v>875</x:v>
      </x:c>
      <x:c r="G19" s="34" t="n">
        <x:v>0.655411437</x:v>
      </x:c>
      <x:c r="H19" s="32" t="str">
        <x:v>Structured utility fields + saved description</x:v>
      </x:c>
      <x:c r="I19" s="32" t="str">
        <x:v>Yes</x:v>
      </x:c>
      <x:c r="J19" s="32" t="str">
        <x:v>* All utilities included: Electric, water, trash, and unlimited Google Fiber High-Speed Internet</x:v>
      </x:c>
    </x:row>
    <x:row r="20">
      <x:c r="A20" s="32" t="str">
        <x:v>ocpm68s5sh</x:v>
      </x:c>
      <x:c r="B20" s="32" t="str">
        <x:v>Burt Drive Townhouses---Brand New Luxury Housing within walking distance to NCSU</x:v>
      </x:c>
      <x:c r="C20" s="32" t="str">
        <x:v>$1,050</x:v>
      </x:c>
      <x:c r="D20" s="33" t="n">
        <x:v>1050</x:v>
      </x:c>
      <x:c r="E20" s="33" t="n">
        <x:v>1050</x:v>
      </x:c>
      <x:c r="F20" s="33" t="n">
        <x:f>AVERAGE(D20:E20)</x:f>
        <x:v>1050</x:v>
      </x:c>
      <x:c r="G20" s="34" t="n">
        <x:v>0.339887457</x:v>
      </x:c>
      <x:c r="H20" s="32" t="str">
        <x:v>Structured utility fields</x:v>
      </x:c>
      <x:c r="I20" s="32" t="str">
        <x:v>No</x:v>
      </x:c>
      <x:c r="J20" s="32" t="str">
        <x:v>Recycling: Included
Trash Removal: Included</x:v>
      </x:c>
    </x:row>
    <x:row r="21">
      <x:c r="A21" s="32" t="str">
        <x:v>z8cfdjw</x:v>
      </x:c>
      <x:c r="B21" s="32" t="str">
        <x:v>Campus Crossings Raleigh</x:v>
      </x:c>
      <x:c r="C21" s="32" t="str">
        <x:v>$685 - $870</x:v>
      </x:c>
      <x:c r="D21" s="33" t="n">
        <x:v>685</x:v>
      </x:c>
      <x:c r="E21" s="33" t="n">
        <x:v>870</x:v>
      </x:c>
      <x:c r="F21" s="33" t="n">
        <x:f>AVERAGE(D21:E21)</x:f>
        <x:v>777.5</x:v>
      </x:c>
      <x:c r="G21" s="34" t="n">
        <x:v>2.420198986</x:v>
      </x:c>
      <x:c r="H21" s="32" t="str">
        <x:v>Structured utility fields</x:v>
      </x:c>
      <x:c r="I21" s="32" t="str">
        <x:v>No</x:v>
      </x:c>
      <x:c r="J21" s="32" t="str">
        <x:v>Air Conditioning: Included
Electricity: Included
Heat: Included
High-Speed Internet: Included
Trash Removal: Included
Water/Sewer: Included</x:v>
      </x:c>
    </x:row>
    <x:row r="22">
      <x:c r="A22" s="32" t="str">
        <x:v>ocp6mp93ms</x:v>
      </x:c>
      <x:c r="B22" s="32" t="str">
        <x:v>Newly Renovated - All Girls Unit Room with Private Bathroom</x:v>
      </x:c>
      <x:c r="C22" s="32" t="str">
        <x:v>$645</x:v>
      </x:c>
      <x:c r="D22" s="33" t="n">
        <x:v>645</x:v>
      </x:c>
      <x:c r="E22" s="33" t="n">
        <x:v>645</x:v>
      </x:c>
      <x:c r="F22" s="33" t="n">
        <x:f>AVERAGE(D22:E22)</x:f>
        <x:v>645</x:v>
      </x:c>
      <x:c r="G22" s="34" t="n">
        <x:v>2.193838767</x:v>
      </x:c>
      <x:c r="H22" s="32" t="str">
        <x:v>Saved description</x:v>
      </x:c>
      <x:c r="I22" s="32" t="str">
        <x:v>No</x:v>
      </x:c>
      <x:c r="J22" s="32" t="str">
        <x:v>Included: sewer, trash
Not included: Water, Internet and Electricity (shared among roommates)</x:v>
      </x:c>
    </x:row>
    <x:row r="23">
      <x:c r="A23" s="32" t="str">
        <x:v>5x5ph7m</x:v>
      </x:c>
      <x:c r="B23" s="32" t="str">
        <x:v>Redpoint Raleigh</x:v>
      </x:c>
      <x:c r="C23" s="32" t="str">
        <x:v>$899 - $995</x:v>
      </x:c>
      <x:c r="D23" s="33" t="n">
        <x:v>899</x:v>
      </x:c>
      <x:c r="E23" s="33" t="n">
        <x:v>995</x:v>
      </x:c>
      <x:c r="F23" s="33" t="n">
        <x:f>AVERAGE(D23:E23)</x:f>
        <x:v>947</x:v>
      </x:c>
      <x:c r="G23" s="34" t="n">
        <x:v>2.69627335</x:v>
      </x:c>
      <x:c r="H23" s="32" t="str">
        <x:v>Structured utility fields</x:v>
      </x:c>
      <x:c r="I23" s="32" t="str">
        <x:v>No</x:v>
      </x:c>
      <x:c r="J23" s="32" t="str">
        <x:v>Air Conditioning: Included
Gas: Included
Heat: Included
High-Speed Internet: Included
Trash Removal: Included
Water/Sewer: Included</x:v>
      </x:c>
    </x:row>
    <x:row r="24">
      <x:c r="A24" s="32" t="str">
        <x:v>jjs8f07</x:v>
      </x:c>
      <x:c r="B24" s="32" t="str">
        <x:v>Village Green Student Housing</x:v>
      </x:c>
      <x:c r="C24" s="32" t="str">
        <x:v>$649 - $839</x:v>
      </x:c>
      <x:c r="D24" s="33" t="n">
        <x:v>649</x:v>
      </x:c>
      <x:c r="E24" s="33" t="n">
        <x:v>839</x:v>
      </x:c>
      <x:c r="F24" s="33" t="n">
        <x:f>AVERAGE(D24:E24)</x:f>
        <x:v>744</x:v>
      </x:c>
      <x:c r="G24" s="34" t="n">
        <x:v>1.932509975</x:v>
      </x:c>
      <x:c r="H24" s="32" t="str">
        <x:v>Structured utility fields</x:v>
      </x:c>
      <x:c r="I24" s="32" t="str">
        <x:v>No</x:v>
      </x:c>
      <x:c r="J24" s="32" t="str">
        <x:v>Air Conditioning: Included
Electricity: Included
Gas: Included
Heat: Included
High-Speed Internet: Included
Trash Removal: Included
Water/Sewer: Included</x:v>
      </x:c>
    </x:row>
    <x:row r="25">
      <x:c r="A25" s="32" t="str">
        <x:v>ocpbhbkvy9</x:v>
      </x:c>
      <x:c r="B25" s="32" t="str">
        <x:v>Voyager House</x:v>
      </x:c>
      <x:c r="C25" s="32" t="str">
        <x:v>$800</x:v>
      </x:c>
      <x:c r="D25" s="33" t="n">
        <x:v>800</x:v>
      </x:c>
      <x:c r="E25" s="33" t="n">
        <x:v>800</x:v>
      </x:c>
      <x:c r="F25" s="33" t="n">
        <x:f>AVERAGE(D25:E25)</x:f>
        <x:v>800</x:v>
      </x:c>
      <x:c r="G25" s="34" t="n">
        <x:v>1.884049975</x:v>
      </x:c>
      <x:c r="H25" s="32" t="str">
        <x:v>Structured utility fields</x:v>
      </x:c>
      <x:c r="I25" s="32" t="str">
        <x:v>No</x:v>
      </x:c>
      <x:c r="J25" s="32" t="str">
        <x:v>Electricity: Included
Gas: Included
Heat: Included
High-Speed Internet: Included
Recycling: Included
Trash Removal: Included
Water/Sewer: Included</x:v>
      </x:c>
    </x:row>
    <x:row r="26">
      <x:c r="A26" s="32" t="str">
        <x:v>e13mz5m</x:v>
      </x:c>
      <x:c r="B26" s="32" t="str">
        <x:v>University Suites Student Housing</x:v>
      </x:c>
      <x:c r="C26" s="32" t="str">
        <x:v>$699 - $799</x:v>
      </x:c>
      <x:c r="D26" s="33" t="n">
        <x:v>699</x:v>
      </x:c>
      <x:c r="E26" s="33" t="n">
        <x:v>799</x:v>
      </x:c>
      <x:c r="F26" s="33" t="n">
        <x:f>AVERAGE(D26:E26)</x:f>
        <x:v>749</x:v>
      </x:c>
      <x:c r="G26" s="34" t="n">
        <x:v>2.29213488</x:v>
      </x:c>
      <x:c r="H26" s="32" t="str">
        <x:v>Structured utility fields</x:v>
      </x:c>
      <x:c r="I26" s="32" t="str">
        <x:v>No</x:v>
      </x:c>
      <x:c r="J26" s="32" t="str">
        <x:v>Electricity: Included
High-Speed Internet: Included
Trash Removal: Included
Water/Sewer: Included</x:v>
      </x:c>
    </x:row>
    <x:row r="27">
      <x:c r="A27" s="32" t="str">
        <x:v>ocpepvxvln</x:v>
      </x:c>
      <x:c r="B27" s="32" t="str">
        <x:v>Village Green Student Living</x:v>
      </x:c>
      <x:c r="C27" s="32" t="str">
        <x:v>$831</x:v>
      </x:c>
      <x:c r="D27" s="33" t="n">
        <x:v>831</x:v>
      </x:c>
      <x:c r="E27" s="33" t="n">
        <x:v>831</x:v>
      </x:c>
      <x:c r="F27" s="33" t="n">
        <x:f>AVERAGE(D27:E27)</x:f>
        <x:v>831</x:v>
      </x:c>
      <x:c r="G27" s="34" t="n">
        <x:v>1.815869405</x:v>
      </x:c>
      <x:c r="H27" s="32" t="str">
        <x:v>Saved description</x:v>
      </x:c>
      <x:c r="I27" s="32" t="str">
        <x:v>Yes</x:v>
      </x:c>
      <x:c r="J27" s="32" t="str">
        <x:v>Subletting one room in a four bedroom apartment near NC State's campus. The unit comes with a washer and dryer, private bathrooms for each resident, a full kitchen, and living room. The apartment is fully furnished apart from a bed. The price of parking and all utilities are included in the base rent fee of ~$831/month.</x:v>
      </x:c>
    </x:row>
    <x:row r="28">
      <x:c r="A28" s="32" t="str">
        <x:v>ocpgxr290w</x:v>
      </x:c>
      <x:c r="B28" s="32" t="str">
        <x:v>Spacious Forest Park Two-Room Suite + Private Bath - Walk to Campus (Includes Utilities)</x:v>
      </x:c>
      <x:c r="C28" s="32" t="str">
        <x:v>$1,225</x:v>
      </x:c>
      <x:c r="D28" s="33" t="n">
        <x:v>1225</x:v>
      </x:c>
      <x:c r="E28" s="33" t="n">
        <x:v>1225</x:v>
      </x:c>
      <x:c r="F28" s="33" t="n">
        <x:f>AVERAGE(D28:E28)</x:f>
        <x:v>1225</x:v>
      </x:c>
      <x:c r="G28" s="34" t="n">
        <x:v>1.604060636</x:v>
      </x:c>
      <x:c r="H28" s="32" t="str">
        <x:v>Saved description</x:v>
      </x:c>
      <x:c r="I28" s="32" t="str">
        <x:v>No</x:v>
      </x:c>
      <x:c r="J28" s="32" t="str"/>
    </x:row>
    <x:row r="29">
      <x:c r="A29" s="32" t="str">
        <x:v>ocpsd8dpj6</x:v>
      </x:c>
      <x:c r="B29" s="32" t="str">
        <x:v>Spacious En-suite with private patio and garage parking in Crescent Ridge Townhome Community</x:v>
      </x:c>
      <x:c r="C29" s="32" t="str">
        <x:v>$900</x:v>
      </x:c>
      <x:c r="D29" s="33" t="n">
        <x:v>900</x:v>
      </x:c>
      <x:c r="E29" s="33" t="n">
        <x:v>900</x:v>
      </x:c>
      <x:c r="F29" s="33" t="n">
        <x:f>AVERAGE(D29:E29)</x:f>
        <x:v>900</x:v>
      </x:c>
      <x:c r="G29" s="34" t="n">
        <x:v>2.725369678</x:v>
      </x:c>
      <x:c r="H29" s="32" t="str">
        <x:v>Structured utility fields + saved description</x:v>
      </x:c>
      <x:c r="I29" s="32" t="str">
        <x:v>No</x:v>
      </x:c>
      <x:c r="J29" s="32" t="str">
        <x:v>The kitchen, living room, dining room and laundry are located on the second and third levels and will be shared with the owner.  Internet and utilities are included as well as garage parking and access to the neighborhood pool.</x:v>
      </x:c>
    </x:row>
    <x:row r="30">
      <x:c r="A30" s="32" t="str">
        <x:v>ocp2gxtxqc</x:v>
      </x:c>
      <x:c r="B30" s="32" t="str">
        <x:v>The Station</x:v>
      </x:c>
      <x:c r="C30" s="32" t="str">
        <x:v>$969</x:v>
      </x:c>
      <x:c r="D30" s="33" t="n">
        <x:v>969</x:v>
      </x:c>
      <x:c r="E30" s="33" t="n">
        <x:v>969</x:v>
      </x:c>
      <x:c r="F30" s="33" t="n">
        <x:f>AVERAGE(D30:E30)</x:f>
        <x:v>969</x:v>
      </x:c>
      <x:c r="G30" s="34" t="n">
        <x:v>2.152909218</x:v>
      </x:c>
      <x:c r="H30" s="32" t="str">
        <x:v>Saved description</x:v>
      </x:c>
      <x:c r="I30" s="32" t="str">
        <x:v>No</x:v>
      </x:c>
      <x:c r="J30" s="32" t="str">
        <x:v>This lease is for a room in a spacious 4 bed, 4 bath, two-story townhome. The unit includes in-unit laundry, parking, and utilities are included, making it super convenient and hassle-free. You’ll be living with three easygoing, clean roommates, and there is currently one spot available.</x:v>
      </x:c>
    </x:row>
    <x:row r="31">
      <x:c r="A31" s="32" t="str">
        <x:v>ocppbmmgnt</x:v>
      </x:c>
      <x:c r="B31" s="32" t="str">
        <x:v>5 bedroom townhome available near NC State</x:v>
      </x:c>
      <x:c r="C31" s="32" t="str">
        <x:v>$650</x:v>
      </x:c>
      <x:c r="D31" s="33" t="n">
        <x:v>650</x:v>
      </x:c>
      <x:c r="E31" s="33" t="n">
        <x:v>650</x:v>
      </x:c>
      <x:c r="F31" s="33" t="n">
        <x:f>AVERAGE(D31:E31)</x:f>
        <x:v>650</x:v>
      </x:c>
      <x:c r="G31" s="34" t="n">
        <x:v>2.375235559</x:v>
      </x:c>
      <x:c r="H31" s="32" t="str">
        <x:v>Structured utility fields</x:v>
      </x:c>
      <x:c r="I31" s="32" t="str">
        <x:v>No</x:v>
      </x:c>
      <x:c r="J31" s="32" t="str">
        <x:v>Recycling: Included
Trash Removal: Included</x:v>
      </x:c>
    </x:row>
    <x:row r="32">
      <x:c r="A32" s="32" t="str">
        <x:v>ocpx51p4tm</x:v>
      </x:c>
      <x:c r="B32" s="32" t="str">
        <x:v>Condo near NCSU</x:v>
      </x:c>
      <x:c r="C32" s="32" t="str">
        <x:v>$800</x:v>
      </x:c>
      <x:c r="D32" s="33" t="n">
        <x:v>800</x:v>
      </x:c>
      <x:c r="E32" s="33" t="n">
        <x:v>800</x:v>
      </x:c>
      <x:c r="F32" s="33" t="n">
        <x:f>AVERAGE(D32:E32)</x:f>
        <x:v>800</x:v>
      </x:c>
      <x:c r="G32" s="34" t="n">
        <x:v>1.625432361</x:v>
      </x:c>
      <x:c r="H32" s="32" t="str">
        <x:v>Saved description</x:v>
      </x:c>
      <x:c r="I32" s="32" t="str">
        <x:v>No</x:v>
      </x:c>
      <x:c r="J32" s="32" t="str">
        <x:v>I am offering a Single Room in Raleigh, NC for $800. The room is ideal for any and comes with a Private bathroom and closet. Digital lock system. The location is close to public transport and amenities. This is a shared apartment. 5 mins drive to NCSU Centennial Campus, walk to Lake Johnson. Refrigrator, microwave, oven, dishwasher, washer and dryer included. All utilities (wifi, electricity, water) are included. Community has pool, volleyball &amp; basketball. If student will need parent’s guarentor agreement. Security deposit will be $800.</x:v>
      </x:c>
    </x:row>
    <x:row r="33">
      <x:c r="A33" s="32" t="str">
        <x:v>ocphdtdgk2</x:v>
      </x:c>
      <x:c r="B33" s="32" t="str">
        <x:v>105 Friendly Drive! Furnished Room Rentals with Utilities!</x:v>
      </x:c>
      <x:c r="C33" s="32" t="str">
        <x:v>$775 - $1,050</x:v>
      </x:c>
      <x:c r="D33" s="33" t="n">
        <x:v>775</x:v>
      </x:c>
      <x:c r="E33" s="33" t="n">
        <x:v>1050</x:v>
      </x:c>
      <x:c r="F33" s="33" t="n">
        <x:f>AVERAGE(D33:E33)</x:f>
        <x:v>912.5</x:v>
      </x:c>
      <x:c r="G33" s="34" t="n">
        <x:v>0.734302196</x:v>
      </x:c>
      <x:c r="H33" s="32" t="str">
        <x:v>Structured utility fields + saved description</x:v>
      </x:c>
      <x:c r="I33" s="32" t="str">
        <x:v>No</x:v>
      </x:c>
      <x:c r="J33" s="32" t="str">
        <x:v>High-Speed Internet &amp; Utilities INCLUDED – Stay connected and stress-free.</x:v>
      </x:c>
    </x:row>
    <x:row r="34">
      <x:c r="A34" s="32" t="str">
        <x:v>ocp4lh373j</x:v>
      </x:c>
      <x:c r="B34" s="32" t="str">
        <x:v>Hub Raleigh – 4x2 Lease Takeover, Available Now</x:v>
      </x:c>
      <x:c r="C34" s="32" t="str">
        <x:v>$1,199</x:v>
      </x:c>
      <x:c r="D34" s="33" t="n">
        <x:v>1199</x:v>
      </x:c>
      <x:c r="E34" s="33" t="n">
        <x:v>1199</x:v>
      </x:c>
      <x:c r="F34" s="33" t="n">
        <x:f>AVERAGE(D34:E34)</x:f>
        <x:v>1199</x:v>
      </x:c>
      <x:c r="G34" s="34" t="n">
        <x:v>1.249575868</x:v>
      </x:c>
      <x:c r="H34" s="32" t="str">
        <x:v>Saved description</x:v>
      </x:c>
      <x:c r="I34" s="32" t="str">
        <x:v>No</x:v>
      </x:c>
      <x:c r="J34" s="32" t="str">
        <x:v>I'm looking for someone to take over my lease at Hub Raleigh, available immediately through 12/21/26 — perfect for anyone who doesn't want a full-year commitment. This is a 4 bedroom / 2 bathroom furnished unit with utilities included in rent ($1,199/month); parking is available separately if needed.</x:v>
      </x:c>
    </x:row>
    <x:row r="35">
      <x:c r="A35" s="32" t="str">
        <x:v>se736e5</x:v>
      </x:c>
      <x:c r="B35" s="32" t="str">
        <x:v>College Inn</x:v>
      </x:c>
      <x:c r="C35" s="32" t="str">
        <x:v>$859 - $1,275</x:v>
      </x:c>
      <x:c r="D35" s="33" t="n">
        <x:v>859</x:v>
      </x:c>
      <x:c r="E35" s="33" t="n">
        <x:v>1275</x:v>
      </x:c>
      <x:c r="F35" s="33" t="n">
        <x:f>AVERAGE(D35:E35)</x:f>
        <x:v>1067</x:v>
      </x:c>
      <x:c r="G35" s="34" t="n">
        <x:v>0.246460777</x:v>
      </x:c>
      <x:c r="H35" s="32" t="str">
        <x:v>Structured utility fields</x:v>
      </x:c>
      <x:c r="I35" s="32" t="str">
        <x:v>No</x:v>
      </x:c>
      <x:c r="J35" s="32" t="str">
        <x:v>Electricity: Included
Gas: Included
Heat: Included
High-Speed Internet: Included
Water/Sewer: Included</x:v>
      </x:c>
    </x:row>
    <x:row r="36">
      <x:c r="A36" s="32" t="str">
        <x:v>ocp0gblz91</x:v>
      </x:c>
      <x:c r="B36" s="32" t="str">
        <x:v>Great value in beautiful SW Raleigh</x:v>
      </x:c>
      <x:c r="C36" s="32" t="str">
        <x:v>$850</x:v>
      </x:c>
      <x:c r="D36" s="33" t="n">
        <x:v>850</x:v>
      </x:c>
      <x:c r="E36" s="33" t="n">
        <x:v>850</x:v>
      </x:c>
      <x:c r="F36" s="33" t="n">
        <x:f>AVERAGE(D36:E36)</x:f>
        <x:v>850</x:v>
      </x:c>
      <x:c r="G36" s="34" t="n">
        <x:v>3.495</x:v>
      </x:c>
      <x:c r="H36" s="32" t="str">
        <x:v>Saved description</x:v>
      </x:c>
      <x:c r="I36" s="32" t="str">
        <x:v>Yes</x:v>
      </x:c>
      <x:c r="J36" s="32" t="str">
        <x:v>Are you looking for housing for the summer or the Fall? Here's a great opportunity for just $850 per month. Your own wing of a nice modern townhouse, including a partially furnished bedroom (comfortable queen size bed and night-stand), full spacious private bathroom, and an additional bonus bedroom you can use for studying, gaming, or extra living space. You will also have full access to the kitchen and dining areas, living room, screened in porch, and washer and dryer. Free parking on the driveway. ALL utilities included (i.e., high speed internet, electricity/gas, water, etc.). There is only one male room-mate in the townhouse who is a graduate student, and is friendly, private and respectful. He has a friendly dog that is usually in his bedroom. Amenities such as pool and walking trail included in the very nice townhouse community. Great location - southwest Raleigh (Silver Lake) and just a 10 minute drive to NC State, 5 minutes to Cary shopping/restaurants, and very close to I40.  Suitable for an undergraduate or graduate student or young professional. Please call Craig at 310-849-3064 to view the house or with any questions.</x:v>
      </x:c>
    </x:row>
    <x:row r="37">
      <x:c r="A37" s="32" t="str">
        <x:v>ocpteqgjg8</x:v>
      </x:c>
      <x:c r="B37" s="32" t="str">
        <x:v>Huge modern studio suite- private entrance and beth- near NCSU</x:v>
      </x:c>
      <x:c r="C37" s="32" t="str">
        <x:v>$1,150</x:v>
      </x:c>
      <x:c r="D37" s="33" t="n">
        <x:v>1150</x:v>
      </x:c>
      <x:c r="E37" s="33" t="n">
        <x:v>1150</x:v>
      </x:c>
      <x:c r="F37" s="33" t="n">
        <x:f>AVERAGE(D37:E37)</x:f>
        <x:v>1150</x:v>
      </x:c>
      <x:c r="G37" s="34" t="n">
        <x:v>2.969896437</x:v>
      </x:c>
      <x:c r="H37" s="32" t="str">
        <x:v>Saved description</x:v>
      </x:c>
      <x:c r="I37" s="32" t="str">
        <x:v>No</x:v>
      </x:c>
      <x:c r="J37" s="32" t="str">
        <x:v>​Stress-Free Living: Rent includes electricity, water, gas, trash, and ultra-high-speed Wi-Fi (capped at reasonable monthly usage).</x:v>
      </x:c>
    </x:row>
    <x:row r="38">
      <x:c r="A38" s="32" t="str">
        <x:v>ocp4t7wmxk</x:v>
      </x:c>
      <x:c r="B38" s="32" t="str">
        <x:v>University Oaks</x:v>
      </x:c>
      <x:c r="C38" s="32" t="str">
        <x:v>$725</x:v>
      </x:c>
      <x:c r="D38" s="33" t="n">
        <x:v>725</x:v>
      </x:c>
      <x:c r="E38" s="33" t="n">
        <x:v>725</x:v>
      </x:c>
      <x:c r="F38" s="33" t="n">
        <x:f>AVERAGE(D38:E38)</x:f>
        <x:v>725</x:v>
      </x:c>
      <x:c r="G38" s="34" t="n">
        <x:v>0.456914407</x:v>
      </x:c>
      <x:c r="H38" s="32" t="str">
        <x:v>Saved description</x:v>
      </x:c>
      <x:c r="I38" s="32" t="str">
        <x:v>No</x:v>
      </x:c>
      <x:c r="J38" s="32" t="str">
        <x:v>Utilities included: Water, WiFi, and electricity!</x:v>
      </x:c>
    </x:row>
    <x:row r="39">
      <x:c r="A39" s="32" t="str">
        <x:v>ocpq99qjpx</x:v>
      </x:c>
      <x:c r="B39" s="32" t="str">
        <x:v>Apartment close to NCSU</x:v>
      </x:c>
      <x:c r="C39" s="32" t="str">
        <x:v>$645</x:v>
      </x:c>
      <x:c r="D39" s="33" t="n">
        <x:v>645</x:v>
      </x:c>
      <x:c r="E39" s="33" t="n">
        <x:v>645</x:v>
      </x:c>
      <x:c r="F39" s="33" t="n">
        <x:f>AVERAGE(D39:E39)</x:f>
        <x:v>645</x:v>
      </x:c>
      <x:c r="G39" s="34" t="n">
        <x:v>1.653317243</x:v>
      </x:c>
      <x:c r="H39" s="32" t="str">
        <x:v>Structured utility fields + saved description</x:v>
      </x:c>
      <x:c r="I39" s="32" t="str">
        <x:v>No</x:v>
      </x:c>
      <x:c r="J39" s="32" t="str">
        <x:v>All appliances and utilities are included in the rent for a hassle-free living experience.</x:v>
      </x:c>
    </x:row>
    <x:row r="40">
      <x:c r="A40" s="32" t="str">
        <x:v>ocps6ymwl7</x:v>
      </x:c>
      <x:c r="B40" s="32" t="str">
        <x:v>University Woods</x:v>
      </x:c>
      <x:c r="C40" s="32" t="str">
        <x:v>$600</x:v>
      </x:c>
      <x:c r="D40" s="33" t="n">
        <x:v>600</x:v>
      </x:c>
      <x:c r="E40" s="33" t="n">
        <x:v>600</x:v>
      </x:c>
      <x:c r="F40" s="33" t="n">
        <x:f>AVERAGE(D40:E40)</x:f>
        <x:v>600</x:v>
      </x:c>
      <x:c r="G40" s="34" t="n">
        <x:v>2.123645671</x:v>
      </x:c>
      <x:c r="H40" s="32" t="str">
        <x:v>Structured utility fields + saved description</x:v>
      </x:c>
      <x:c r="I40" s="32" t="str">
        <x:v>No</x:v>
      </x:c>
      <x:c r="J40" s="32" t="str">
        <x:v>This is a single room available in a 4-bedroom 4-bathroom unit with shared living/dining room area and kitchen. Each bedroom has a private bathroom and walk in closet as well as a separate lock for your bedroom door. Every apartment also includes a washer and dryer. Water and electric are included with a cap. Room rent starts at $600 per month. The deposit is equal to rent, and the application fee is $75 per person and an additional $40 for guarantors. This community does not allow pets.
We also have limited availability on whole units renting for $2400 per month with utilities included! Please reach out to our Lake Park Office Location for more information!</x:v>
      </x:c>
    </x:row>
    <x:row r="41">
      <x:c r="A41" s="32" t="str">
        <x:v>ocpvgtpebg</x:v>
      </x:c>
      <x:c r="B41" s="32" t="str">
        <x:v>Lake Park Condos- Room Rental with Utilities</x:v>
      </x:c>
      <x:c r="C41" s="32" t="str">
        <x:v>$500 - $600</x:v>
      </x:c>
      <x:c r="D41" s="33" t="n">
        <x:v>500</x:v>
      </x:c>
      <x:c r="E41" s="33" t="n">
        <x:v>600</x:v>
      </x:c>
      <x:c r="F41" s="33" t="n">
        <x:f>AVERAGE(D41:E41)</x:f>
        <x:v>550</x:v>
      </x:c>
      <x:c r="G41" s="34" t="n">
        <x:v>1.637356936</x:v>
      </x:c>
      <x:c r="H41" s="32" t="str">
        <x:v>Structured utility fields + saved description</x:v>
      </x:c>
      <x:c r="I41" s="32" t="str">
        <x:v>No</x:v>
      </x:c>
      <x:c r="J41" s="32" t="str">
        <x:v>This is a single room available in a 4-bedroom 4-bathroom unit with shared living/dining room area and kitchen. Each bedroom has a private bathroom and walk in closet as well as a separate lock for your bedroom door. Every apartment also includes a washer and dryer. Water and electric are included with a cap. Room rent starts at $600 per month. The deposit is equal to rent, and the application fee is $75 per person and an additional $40 for guarantors. This community does not allow pets. Community amenities here at Lake Park include a swimming pool, volleyball courts, and a basketball court. The community is also located across the street from Lake Johnson which offers walking trails and access to the lake for canoeing and kayaking.
We also have limited availability on whole units renting for $2400 per month with utilities included! Please reach out to our Lake Park Office Location for more information!</x:v>
      </x:c>
    </x:row>
    <x:row r="42">
      <x:c r="A42" s="32" t="str">
        <x:v>5hme2mn</x:v>
      </x:c>
      <x:c r="B42" s="32" t="str">
        <x:v>The Station Raleigh</x:v>
      </x:c>
      <x:c r="C42" s="32" t="str">
        <x:v>$749 - $1,930</x:v>
      </x:c>
      <x:c r="D42" s="33" t="n">
        <x:v>749</x:v>
      </x:c>
      <x:c r="E42" s="33" t="n">
        <x:v>1930</x:v>
      </x:c>
      <x:c r="F42" s="33" t="n">
        <x:f>AVERAGE(D42:E42)</x:f>
        <x:v>1339.5</x:v>
      </x:c>
      <x:c r="G42" s="34" t="n">
        <x:v>2.173712249</x:v>
      </x:c>
      <x:c r="H42" s="32" t="str">
        <x:v>Structured utility fields</x:v>
      </x:c>
      <x:c r="I42" s="32" t="str">
        <x:v>No</x:v>
      </x:c>
      <x:c r="J42" s="32" t="str">
        <x:v>Air Conditioning: Included
Cable: Included
Gas: Included
Heat: Included
High-Speed Internet: Included
Trash Removal: Included
Water/Sewer: Included</x:v>
      </x:c>
    </x:row>
    <x:row r="43">
      <x:c r="A43" s="32" t="str">
        <x:v>lpl9fce</x:v>
      </x:c>
      <x:c r="B43" s="32" t="str">
        <x:v>2850 Sanderford Rd (Raleigh, NC)</x:v>
      </x:c>
      <x:c r="C43" s="32" t="str">
        <x:v>$650</x:v>
      </x:c>
      <x:c r="D43" s="33" t="n">
        <x:v>650</x:v>
      </x:c>
      <x:c r="E43" s="33" t="n">
        <x:v>650</x:v>
      </x:c>
      <x:c r="F43" s="33" t="n">
        <x:f>AVERAGE(D43:E43)</x:f>
        <x:v>650</x:v>
      </x:c>
      <x:c r="G43" s="34" t="n">
        <x:v>4.773</x:v>
      </x:c>
      <x:c r="H43" s="32" t="str">
        <x:v>Structured utility fields + saved description</x:v>
      </x:c>
      <x:c r="I43" s="32" t="str">
        <x:v>No</x:v>
      </x:c>
      <x:c r="J43" s="32" t="str">
        <x:v>Water, sewage, trash, internet and power all included</x:v>
      </x:c>
    </x:row>
    <x:row r="44">
      <x:c r="A44" s="32" t="str">
        <x:v>ocp67ldb5s</x:v>
      </x:c>
      <x:c r="B44" s="32" t="str">
        <x:v>The Wilde</x:v>
      </x:c>
      <x:c r="C44" s="32" t="str">
        <x:v>$860</x:v>
      </x:c>
      <x:c r="D44" s="33" t="n">
        <x:v>860</x:v>
      </x:c>
      <x:c r="E44" s="33" t="n">
        <x:v>860</x:v>
      </x:c>
      <x:c r="F44" s="33" t="n">
        <x:f>AVERAGE(D44:E44)</x:f>
        <x:v>860</x:v>
      </x:c>
      <x:c r="G44" s="34" t="n">
        <x:v>2.038270328</x:v>
      </x:c>
      <x:c r="H44" s="32" t="str">
        <x:v>Saved description</x:v>
      </x:c>
      <x:c r="I44" s="32" t="str">
        <x:v>Yes</x:v>
      </x:c>
      <x:c r="J44" s="32" t="str">
        <x:v>The apartment is a 4 bed / 4 bath unit with a common room, kitchen with all you need, and in unit laundry. Each bedroom has its own full bathroom, closet, bed frame, and desk. The space is fully furnished. The $860 rent is all inclusive of fees and utilities outside of 1 time administrative fees. I am graduating in December, so the applicant will take over with the 3 existing roommates from January through the end of July.</x:v>
      </x:c>
    </x:row>
    <x:row r="45">
      <x:c r="A45" s="32" t="str">
        <x:v>ocp0psn632</x:v>
      </x:c>
      <x:c r="B45" s="32" t="str">
        <x:v>An apartments with 3 bed and 3 bath for NC State Students www.ncstudentsliving.com</x:v>
      </x:c>
      <x:c r="C45" s="32" t="str">
        <x:v>$650</x:v>
      </x:c>
      <x:c r="D45" s="33" t="n">
        <x:v>650</x:v>
      </x:c>
      <x:c r="E45" s="33" t="n">
        <x:v>650</x:v>
      </x:c>
      <x:c r="F45" s="33" t="n">
        <x:f>AVERAGE(D45:E45)</x:f>
        <x:v>650</x:v>
      </x:c>
      <x:c r="G45" s="34" t="n">
        <x:v>2.262000465</x:v>
      </x:c>
      <x:c r="H45" s="32" t="str">
        <x:v>Structured utility fields</x:v>
      </x:c>
      <x:c r="I45" s="32" t="str">
        <x:v>No</x:v>
      </x:c>
      <x:c r="J45" s="32" t="str">
        <x:v>Recycling: Included
Trash Removal: Included
Water/Sewer: Included</x:v>
      </x:c>
    </x:row>
    <x:row r="46">
      <x:c r="A46" s="32" t="str">
        <x:v>ocp5lwrmvq</x:v>
      </x:c>
      <x:c r="B46" s="32" t="str">
        <x:v>Convenient Kaplan Dr property near NCSU buses, park, grocery, with parking space &amp; private bathroom</x:v>
      </x:c>
      <x:c r="C46" s="32" t="str">
        <x:v>$675</x:v>
      </x:c>
      <x:c r="D46" s="33" t="n">
        <x:v>675</x:v>
      </x:c>
      <x:c r="E46" s="33" t="n">
        <x:v>675</x:v>
      </x:c>
      <x:c r="F46" s="33" t="n">
        <x:f>AVERAGE(D46:E46)</x:f>
        <x:v>675</x:v>
      </x:c>
      <x:c r="G46" s="34" t="n">
        <x:v>0.716855117</x:v>
      </x:c>
      <x:c r="H46" s="32" t="str">
        <x:v>Saved description</x:v>
      </x:c>
      <x:c r="I46" s="32" t="str">
        <x:v>No</x:v>
      </x:c>
      <x:c r="J46" s="32" t="str">
        <x:v>Master bedroom with private bathroom in 3 unit townhome. Base rent is $675, so listed price is with utilities and internet. Looking to rent until July 31st, but renewal is easy. Can negotiate shorter terms.
Fully furnished (mattress, bedframe, bookcases, desk, black-out curtains). Kitchen is fully stocked with additional air frier, crock pot, rice cooker, dishwasher. Back patio also has grills. Walk to either campus is possible. Parking space included. Additional storage in shed and in attic or crawl space. Central AC and heat.</x:v>
      </x:c>
    </x:row>
    <x:row r="48">
      <x:c r="A48" s="39" t="str">
        <x:v>COUNT</x:v>
      </x:c>
      <x:c r="B48" s="39" t="str">
        <x:v>Listing count</x:v>
      </x:c>
      <x:c r="C48" s="39" t="str"/>
      <x:c r="D48" s="39" t="n">
        <x:f>COUNT(D6:D46)</x:f>
        <x:v>41</x:v>
      </x:c>
      <x:c r="E48" s="39" t="n">
        <x:f>COUNT(E6:E46)</x:f>
        <x:v>41</x:v>
      </x:c>
      <x:c r="F48" s="39" t="n">
        <x:f>COUNT(F6:F46)</x:f>
        <x:v>41</x:v>
      </x:c>
      <x:c r="G48" s="39"/>
      <x:c r="H48" s="39"/>
      <x:c r="I48" s="39"/>
      <x:c r="J48" s="39"/>
    </x:row>
    <x:row r="49">
      <x:c r="A49" s="39" t="str">
        <x:v>SUM</x:v>
      </x:c>
      <x:c r="B49" s="39" t="str">
        <x:v>Sum of rent values</x:v>
      </x:c>
      <x:c r="C49" s="39" t="str"/>
      <x:c r="D49" s="42" t="n">
        <x:f>SUM(D6:D46)</x:f>
        <x:v>33402</x:v>
      </x:c>
      <x:c r="E49" s="42" t="n">
        <x:f>SUM(E6:E46)</x:f>
        <x:v>38603</x:v>
      </x:c>
      <x:c r="F49" s="42" t="n">
        <x:f>SUM(F6:F46)</x:f>
        <x:v>36002.5</x:v>
      </x:c>
      <x:c r="G49" s="39"/>
      <x:c r="H49" s="39"/>
      <x:c r="I49" s="39"/>
      <x:c r="J49" s="39"/>
    </x:row>
    <x:row r="50">
      <x:c r="A50" s="39" t="str">
        <x:v>MEAN</x:v>
      </x:c>
      <x:c r="B50" s="39" t="str">
        <x:v>Mean advertised rent</x:v>
      </x:c>
      <x:c r="C50" s="39" t="str"/>
      <x:c r="D50" s="42" t="n">
        <x:f>AVERAGE(D6:D46)</x:f>
        <x:v>814.6829268292682</x:v>
      </x:c>
      <x:c r="E50" s="42" t="n">
        <x:f>AVERAGE(E6:E46)</x:f>
        <x:v>941.5365853658536</x:v>
      </x:c>
      <x:c r="F50" s="42" t="n">
        <x:f>AVERAGE(F6:F46)</x:f>
        <x:v>878.109756097561</x:v>
      </x:c>
      <x:c r="G50" s="39"/>
      <x:c r="H50" s="39"/>
      <x:c r="I50" s="39"/>
      <x:c r="J50" s="39"/>
    </x:row>
    <x:row r="51">
      <x:c r="A51" s="39" t="str">
        <x:v>SUM ÷ COUNT CHECK</x:v>
      </x:c>
      <x:c r="B51" s="39" t="str">
        <x:v>Explicit check</x:v>
      </x:c>
      <x:c r="C51" s="39" t="str"/>
      <x:c r="D51" s="42" t="n">
        <x:f>D49/D48</x:f>
        <x:v>814.6829268292682</x:v>
      </x:c>
      <x:c r="E51" s="42" t="n">
        <x:f>E49/E48</x:f>
        <x:v>941.5365853658536</x:v>
      </x:c>
      <x:c r="F51" s="42" t="n">
        <x:f>F49/F48</x:f>
        <x:v>878.109756097561</x:v>
      </x:c>
      <x:c r="G51" s="39"/>
      <x:c r="H51" s="39"/>
      <x:c r="I51" s="39"/>
      <x:c r="J51" s="39"/>
    </x:row>
  </x:sheetData>
  <x:mergeCells>
    <x:mergeCell ref="A1:J1"/>
    <x:mergeCell ref="A2:J3"/>
  </x:mergeCells>
  <x:pageMargins left="0.7" right="0.7" top="0.75" bottom="0.75" header="0.3" footer="0.3"/>
</x:worksheet>
</file>

<file path=xl/worksheets/sheet2.xml><?xml version="1.0" encoding="utf-8"?>
<x:worksheet xmlns:x="http://schemas.openxmlformats.org/spreadsheetml/2006/main">
  <x:sheetFormatPr defaultRowHeight="15"/>
  <x:cols>
    <x:col min="1" max="1" width="14" hidden="0" customWidth="1"/>
    <x:col min="2" max="2" width="34" hidden="0" customWidth="1"/>
    <x:col min="3" max="3" width="15" hidden="0" customWidth="1"/>
    <x:col min="4" max="4" width="12" hidden="0" customWidth="1"/>
    <x:col min="5" max="5" width="12" hidden="0" customWidth="1"/>
    <x:col min="6" max="6" width="12" hidden="0" customWidth="1"/>
    <x:col min="7" max="7" width="12" hidden="0" customWidth="1"/>
    <x:col min="8" max="8" width="28" hidden="0" customWidth="1"/>
    <x:col min="9" max="9" width="18" hidden="0" customWidth="1"/>
    <x:col min="10" max="10" width="50" hidden="0" customWidth="1"/>
  </x:cols>
  <x:sheetData>
    <x:row r="1">
      <x:c r="A1" s="4" t="str">
        <x:v>Utility Audit — Explicitly States All Utilities Included</x:v>
      </x:c>
      <x:c r="B1" s="4"/>
      <x:c r="C1" s="4"/>
      <x:c r="D1" s="4"/>
      <x:c r="E1" s="4"/>
      <x:c r="F1" s="4"/>
      <x:c r="G1" s="4"/>
      <x:c r="H1" s="4"/>
      <x:c r="I1" s="4"/>
      <x:c r="J1" s="4"/>
    </x:row>
    <x:row r="2">
      <x:c r="A2" s="11" t="str">
        <x:v>8 of 76 listings were manually classified from explicit saved wording that all utilities are included or the rent is inclusive of all utilities.</x:v>
      </x:c>
      <x:c r="B2" s="11"/>
      <x:c r="C2" s="11"/>
      <x:c r="D2" s="11"/>
      <x:c r="E2" s="11"/>
      <x:c r="F2" s="11"/>
      <x:c r="G2" s="11"/>
      <x:c r="H2" s="11"/>
      <x:c r="I2" s="11"/>
      <x:c r="J2" s="11"/>
    </x:row>
    <x:row r="3">
      <x:c r="A3" s="11"/>
      <x:c r="B3" s="11"/>
      <x:c r="C3" s="11"/>
      <x:c r="D3" s="11"/>
      <x:c r="E3" s="11"/>
      <x:c r="F3" s="11"/>
      <x:c r="G3" s="11"/>
      <x:c r="H3" s="11"/>
      <x:c r="I3" s="11"/>
      <x:c r="J3" s="11"/>
    </x:row>
    <x:row r="5">
      <x:c r="A5" s="18" t="str">
        <x:v>Listing ID</x:v>
      </x:c>
      <x:c r="B5" s="18" t="str">
        <x:v>Listing</x:v>
      </x:c>
      <x:c r="C5" s="18" t="str">
        <x:v>Advertised price</x:v>
      </x:c>
      <x:c r="D5" s="18" t="str">
        <x:v>Rent low</x:v>
      </x:c>
      <x:c r="E5" s="18" t="str">
        <x:v>Rent high</x:v>
      </x:c>
      <x:c r="F5" s="18" t="str">
        <x:v>Midpoint</x:v>
      </x:c>
      <x:c r="G5" s="18" t="str">
        <x:v>Distance (mi)</x:v>
      </x:c>
      <x:c r="H5" s="18" t="str">
        <x:v>Basis</x:v>
      </x:c>
      <x:c r="I5" s="18" t="str">
        <x:v>All utilities explicit?</x:v>
      </x:c>
      <x:c r="J5" s="18" t="str">
        <x:v>Evidence</x:v>
      </x:c>
    </x:row>
    <x:row r="6">
      <x:c r="A6" s="32" t="str">
        <x:v>ocpw46rjcl</x:v>
      </x:c>
      <x:c r="B6" s="32" t="str">
        <x:v>Brand New Luxury Furnished Townhome | 4 Bed /  3.5 Bath | 5 Min to NC State &amp; 3 Mins to Fenton +shop</x:v>
      </x:c>
      <x:c r="C6" s="32" t="str">
        <x:v>$900 - $1,050</x:v>
      </x:c>
      <x:c r="D6" s="33" t="n">
        <x:v>900</x:v>
      </x:c>
      <x:c r="E6" s="33" t="n">
        <x:v>1050</x:v>
      </x:c>
      <x:c r="F6" s="33" t="n">
        <x:f>AVERAGE(D6:E6)</x:f>
        <x:v>975</x:v>
      </x:c>
      <x:c r="G6" s="34" t="n">
        <x:v>3.335</x:v>
      </x:c>
      <x:c r="H6" s="32" t="str">
        <x:v>Saved description</x:v>
      </x:c>
      <x:c r="I6" s="32" t="str">
        <x:v>Yes</x:v>
      </x:c>
      <x:c r="J6" s="32" t="str">
        <x:v>All utilities included</x:v>
      </x:c>
    </x:row>
    <x:row r="7">
      <x:c r="A7" s="32" t="str">
        <x:v>ocpchygggd</x:v>
      </x:c>
      <x:c r="B7" s="32" t="str">
        <x:v>Hurry 2 Rooms Left! – 4BR/4BA Condo Near NC State  – All Utilities &amp; Internet Included!</x:v>
      </x:c>
      <x:c r="C7" s="32" t="str">
        <x:v>$695</x:v>
      </x:c>
      <x:c r="D7" s="33" t="n">
        <x:v>695</x:v>
      </x:c>
      <x:c r="E7" s="33" t="n">
        <x:v>695</x:v>
      </x:c>
      <x:c r="F7" s="33" t="n">
        <x:f>AVERAGE(D7:E7)</x:f>
        <x:v>695</x:v>
      </x:c>
      <x:c r="G7" s="34" t="n">
        <x:v>2.192366298</x:v>
      </x:c>
      <x:c r="H7" s="32" t="str">
        <x:v>Structured utility fields + saved description</x:v>
      </x:c>
      <x:c r="I7" s="32" t="str">
        <x:v>Yes</x:v>
      </x:c>
      <x:c r="J7" s="32" t="str">
        <x:v>Rent is $695 per month per room and includes all utilities (electricity, water, and internet), with no hidden fees. Move-in is available February 2026</x:v>
      </x:c>
    </x:row>
    <x:row r="8">
      <x:c r="A8" s="32" t="str">
        <x:v>ocpesl9n3p</x:v>
      </x:c>
      <x:c r="B8" s="32" t="str">
        <x:v>maisonNC --- Fully Furnished minutes away from Wolfline and Shopping</x:v>
      </x:c>
      <x:c r="C8" s="32" t="str">
        <x:v>$750</x:v>
      </x:c>
      <x:c r="D8" s="33" t="n">
        <x:v>750</x:v>
      </x:c>
      <x:c r="E8" s="33" t="n">
        <x:v>750</x:v>
      </x:c>
      <x:c r="F8" s="33" t="n">
        <x:f>AVERAGE(D8:E8)</x:f>
        <x:v>750</x:v>
      </x:c>
      <x:c r="G8" s="34" t="n">
        <x:v>1.619349362</x:v>
      </x:c>
      <x:c r="H8" s="32" t="str">
        <x:v>Saved description</x:v>
      </x:c>
      <x:c r="I8" s="32" t="str">
        <x:v>Yes</x:v>
      </x:c>
      <x:c r="J8" s="32" t="str">
        <x:v>All utilities, wifi (google fiber) and parking included in the rent.</x:v>
      </x:c>
    </x:row>
    <x:row r="9">
      <x:c r="A9" s="32" t="str">
        <x:v>ocpcm3jede</x:v>
      </x:c>
      <x:c r="B9" s="32" t="str">
        <x:v>maisonNC --- Fully Furnished minutes away from Wolfline and Shopping</x:v>
      </x:c>
      <x:c r="C9" s="32" t="str">
        <x:v>$750</x:v>
      </x:c>
      <x:c r="D9" s="33" t="n">
        <x:v>750</x:v>
      </x:c>
      <x:c r="E9" s="33" t="n">
        <x:v>750</x:v>
      </x:c>
      <x:c r="F9" s="33" t="n">
        <x:f>AVERAGE(D9:E9)</x:f>
        <x:v>750</x:v>
      </x:c>
      <x:c r="G9" s="34" t="n">
        <x:v>1.600371218</x:v>
      </x:c>
      <x:c r="H9" s="32" t="str">
        <x:v>Structured utility fields + saved description</x:v>
      </x:c>
      <x:c r="I9" s="32" t="str">
        <x:v>Yes</x:v>
      </x:c>
      <x:c r="J9" s="32" t="str">
        <x:v>Rent includes all utilities, wifi and parking.</x:v>
      </x:c>
    </x:row>
    <x:row r="10">
      <x:c r="A10" s="32" t="str">
        <x:v>ocpxdxd79p</x:v>
      </x:c>
      <x:c r="B10" s="32" t="str">
        <x:v>4BR/4BA Condo| On Wolfline | Preleasing 27-28 Special $850 Util/Parking Incld | Mile to Campus</x:v>
      </x:c>
      <x:c r="C10" s="32" t="str">
        <x:v>$875</x:v>
      </x:c>
      <x:c r="D10" s="33" t="n">
        <x:v>875</x:v>
      </x:c>
      <x:c r="E10" s="33" t="n">
        <x:v>875</x:v>
      </x:c>
      <x:c r="F10" s="33" t="n">
        <x:f>AVERAGE(D10:E10)</x:f>
        <x:v>875</x:v>
      </x:c>
      <x:c r="G10" s="34" t="n">
        <x:v>0.655411437</x:v>
      </x:c>
      <x:c r="H10" s="32" t="str">
        <x:v>Structured utility fields + saved description</x:v>
      </x:c>
      <x:c r="I10" s="32" t="str">
        <x:v>Yes</x:v>
      </x:c>
      <x:c r="J10" s="32" t="str">
        <x:v>* All utilities included: Electric, water, trash, and unlimited Google Fiber High-Speed Internet</x:v>
      </x:c>
    </x:row>
    <x:row r="11">
      <x:c r="A11" s="32" t="str">
        <x:v>ocpepvxvln</x:v>
      </x:c>
      <x:c r="B11" s="32" t="str">
        <x:v>Village Green Student Living</x:v>
      </x:c>
      <x:c r="C11" s="32" t="str">
        <x:v>$831</x:v>
      </x:c>
      <x:c r="D11" s="33" t="n">
        <x:v>831</x:v>
      </x:c>
      <x:c r="E11" s="33" t="n">
        <x:v>831</x:v>
      </x:c>
      <x:c r="F11" s="33" t="n">
        <x:f>AVERAGE(D11:E11)</x:f>
        <x:v>831</x:v>
      </x:c>
      <x:c r="G11" s="34" t="n">
        <x:v>1.815869405</x:v>
      </x:c>
      <x:c r="H11" s="32" t="str">
        <x:v>Saved description</x:v>
      </x:c>
      <x:c r="I11" s="32" t="str">
        <x:v>Yes</x:v>
      </x:c>
      <x:c r="J11" s="32" t="str">
        <x:v>Subletting one room in a four bedroom apartment near NC State's campus. The unit comes with a washer and dryer, private bathrooms for each resident, a full kitchen, and living room. The apartment is fully furnished apart from a bed. The price of parking and all utilities are included in the base rent fee of ~$831/month.</x:v>
      </x:c>
    </x:row>
    <x:row r="12">
      <x:c r="A12" s="32" t="str">
        <x:v>ocp0gblz91</x:v>
      </x:c>
      <x:c r="B12" s="32" t="str">
        <x:v>Great value in beautiful SW Raleigh</x:v>
      </x:c>
      <x:c r="C12" s="32" t="str">
        <x:v>$850</x:v>
      </x:c>
      <x:c r="D12" s="33" t="n">
        <x:v>850</x:v>
      </x:c>
      <x:c r="E12" s="33" t="n">
        <x:v>850</x:v>
      </x:c>
      <x:c r="F12" s="33" t="n">
        <x:f>AVERAGE(D12:E12)</x:f>
        <x:v>850</x:v>
      </x:c>
      <x:c r="G12" s="34" t="n">
        <x:v>3.495</x:v>
      </x:c>
      <x:c r="H12" s="32" t="str">
        <x:v>Saved description</x:v>
      </x:c>
      <x:c r="I12" s="32" t="str">
        <x:v>Yes</x:v>
      </x:c>
      <x:c r="J12" s="32" t="str">
        <x:v>Are you looking for housing for the summer or the Fall? Here's a great opportunity for just $850 per month. Your own wing of a nice modern townhouse, including a partially furnished bedroom (comfortable queen size bed and night-stand), full spacious private bathroom, and an additional bonus bedroom you can use for studying, gaming, or extra living space. You will also have full access to the kitchen and dining areas, living room, screened in porch, and washer and dryer. Free parking on the driveway. ALL utilities included (i.e., high speed internet, electricity/gas, water, etc.). There is only one male room-mate in the townhouse who is a graduate student, and is friendly, private and respectful. He has a friendly dog that is usually in his bedroom. Amenities such as pool and walking trail included in the very nice townhouse community. Great location - southwest Raleigh (Silver Lake) and just a 10 minute drive to NC State, 5 minutes to Cary shopping/restaurants, and very close to I40.  Suitable for an undergraduate or graduate student or young professional. Please call Craig at 310-849-3064 to view the house or with any questions.</x:v>
      </x:c>
    </x:row>
    <x:row r="13">
      <x:c r="A13" s="32" t="str">
        <x:v>ocp67ldb5s</x:v>
      </x:c>
      <x:c r="B13" s="32" t="str">
        <x:v>The Wilde</x:v>
      </x:c>
      <x:c r="C13" s="32" t="str">
        <x:v>$860</x:v>
      </x:c>
      <x:c r="D13" s="33" t="n">
        <x:v>860</x:v>
      </x:c>
      <x:c r="E13" s="33" t="n">
        <x:v>860</x:v>
      </x:c>
      <x:c r="F13" s="33" t="n">
        <x:f>AVERAGE(D13:E13)</x:f>
        <x:v>860</x:v>
      </x:c>
      <x:c r="G13" s="34" t="n">
        <x:v>2.038270328</x:v>
      </x:c>
      <x:c r="H13" s="32" t="str">
        <x:v>Saved description</x:v>
      </x:c>
      <x:c r="I13" s="32" t="str">
        <x:v>Yes</x:v>
      </x:c>
      <x:c r="J13" s="32" t="str">
        <x:v>The apartment is a 4 bed / 4 bath unit with a common room, kitchen with all you need, and in unit laundry. Each bedroom has its own full bathroom, closet, bed frame, and desk. The space is fully furnished. The $860 rent is all inclusive of fees and utilities outside of 1 time administrative fees. I am graduating in December, so the applicant will take over with the 3 existing roommates from January through the end of July.</x:v>
      </x:c>
    </x:row>
    <x:row r="15">
      <x:c r="A15" s="39" t="str">
        <x:v>COUNT</x:v>
      </x:c>
      <x:c r="B15" s="39" t="str">
        <x:v>Listing count</x:v>
      </x:c>
      <x:c r="C15" s="39" t="str"/>
      <x:c r="D15" s="39" t="n">
        <x:f>COUNT(D6:D13)</x:f>
        <x:v>8</x:v>
      </x:c>
      <x:c r="E15" s="39" t="n">
        <x:f>COUNT(E6:E13)</x:f>
        <x:v>8</x:v>
      </x:c>
      <x:c r="F15" s="39" t="n">
        <x:f>COUNT(F6:F13)</x:f>
        <x:v>8</x:v>
      </x:c>
      <x:c r="G15" s="39"/>
      <x:c r="H15" s="39"/>
      <x:c r="I15" s="39"/>
      <x:c r="J15" s="39"/>
    </x:row>
    <x:row r="16">
      <x:c r="A16" s="39" t="str">
        <x:v>SUM</x:v>
      </x:c>
      <x:c r="B16" s="39" t="str">
        <x:v>Sum of rent values</x:v>
      </x:c>
      <x:c r="C16" s="39" t="str"/>
      <x:c r="D16" s="42" t="n">
        <x:f>SUM(D6:D13)</x:f>
        <x:v>6511</x:v>
      </x:c>
      <x:c r="E16" s="42" t="n">
        <x:f>SUM(E6:E13)</x:f>
        <x:v>6661</x:v>
      </x:c>
      <x:c r="F16" s="42" t="n">
        <x:f>SUM(F6:F13)</x:f>
        <x:v>6586</x:v>
      </x:c>
      <x:c r="G16" s="39"/>
      <x:c r="H16" s="39"/>
      <x:c r="I16" s="39"/>
      <x:c r="J16" s="39"/>
    </x:row>
    <x:row r="17">
      <x:c r="A17" s="39" t="str">
        <x:v>MEAN</x:v>
      </x:c>
      <x:c r="B17" s="39" t="str">
        <x:v>Mean advertised rent</x:v>
      </x:c>
      <x:c r="C17" s="39" t="str"/>
      <x:c r="D17" s="42" t="n">
        <x:f>AVERAGE(D6:D13)</x:f>
        <x:v>813.875</x:v>
      </x:c>
      <x:c r="E17" s="42" t="n">
        <x:f>AVERAGE(E6:E13)</x:f>
        <x:v>832.625</x:v>
      </x:c>
      <x:c r="F17" s="42" t="n">
        <x:f>AVERAGE(F6:F13)</x:f>
        <x:v>823.25</x:v>
      </x:c>
      <x:c r="G17" s="39"/>
      <x:c r="H17" s="39"/>
      <x:c r="I17" s="39"/>
      <x:c r="J17" s="39"/>
    </x:row>
    <x:row r="18">
      <x:c r="A18" s="39" t="str">
        <x:v>SUM ÷ COUNT CHECK</x:v>
      </x:c>
      <x:c r="B18" s="39" t="str">
        <x:v>Explicit check</x:v>
      </x:c>
      <x:c r="C18" s="39" t="str"/>
      <x:c r="D18" s="42" t="n">
        <x:f>D16/D15</x:f>
        <x:v>813.875</x:v>
      </x:c>
      <x:c r="E18" s="42" t="n">
        <x:f>E16/E15</x:f>
        <x:v>832.625</x:v>
      </x:c>
      <x:c r="F18" s="42" t="n">
        <x:f>F16/F15</x:f>
        <x:v>823.25</x:v>
      </x:c>
      <x:c r="G18" s="39"/>
      <x:c r="H18" s="39"/>
      <x:c r="I18" s="39"/>
      <x:c r="J18" s="39"/>
    </x:row>
  </x:sheetData>
  <x:mergeCells>
    <x:mergeCell ref="A1:J1"/>
    <x:mergeCell ref="A2:J3"/>
  </x:mergeCells>
  <x:pageMargins left="0.7" right="0.7" top="0.75" bottom="0.75" header="0.3" footer="0.3"/>
</x:worksheet>
</file>
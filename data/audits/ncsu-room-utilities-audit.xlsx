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d570aea4e14a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ny utility included (41)" sheetId="1" r:id="R3e2f1b85a0844521"/>
    <x:sheet xmlns:r="http://schemas.openxmlformats.org/officeDocument/2006/relationships" name="All utilities stated (8)" sheetId="2" r:id="R914bdba8bc2d48f5"/>
    <x:sheet xmlns:r="http://schemas.openxmlformats.org/officeDocument/2006/relationships" name="Main sample (74)" sheetId="3" r:id="Rddb7f564e70d40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.00;($#,##0.00);&quot;$0.00&quot;"/>
    <x:numFmt numFmtId="201" formatCode="0.000"/>
  </x:numFmts>
  <x:fonts count="4">
    <x:font>
      <x:sz val="11"/>
      <x:name val="Carlito"/>
    </x:font>
    <x:font>
      <x:b/>
      <x:sz val="15"/>
      <x:color rgb="FFFFFFFF"/>
      <x:name val="Arial"/>
    </x:font>
    <x:font>
      <x:sz val="10"/>
      <x:color rgb="FF4F4A43"/>
      <x:name val="Arial"/>
    </x:font>
    <x:font>
      <x:b/>
      <x:sz val="10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8B1F2D"/>
      </x:patternFill>
    </x:fill>
    <x:fill>
      <x:patternFill patternType="solid">
        <x:fgColor rgb="FFF8F6F1"/>
      </x:patternFill>
    </x:fill>
    <x:fill>
      <x:patternFill patternType="solid">
        <x:fgColor rgb="FFE9E4DB"/>
      </x:patternFill>
    </x:fill>
    <x:fill>
      <x:patternFill patternType="solid">
        <x:fgColor rgb="FFF3F0E9"/>
      </x:patternFill>
    </x:fill>
    <x:fill>
      <x:patternFill patternType="solid">
        <x:fgColor rgb="FFE2F0D9"/>
      </x:patternFill>
    </x:fill>
    <x:fill>
      <x:patternFill patternType="solid">
        <x:fgColor rgb="FF8B1F2D"/>
      </x:patternFill>
    </x:fill>
    <x:fill>
      <x:patternFill patternType="solid">
        <x:fgColor rgb="FFF8F6F1"/>
      </x:patternFill>
    </x:fill>
    <x:fill>
      <x:patternFill patternType="solid">
        <x:fgColor rgb="FFE9E4DB"/>
      </x:patternFill>
    </x:fill>
  </x:fills>
  <x:borders count="2">
    <x:border/>
    <x:border/>
  </x:borders>
  <x:cellStyleXfs count="1">
    <x:xf numFmtId="0" fontId="0" fillId="0" borderId="0"/>
  </x:cellStyleXfs>
  <x:cellXfs count="5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200" fontId="3" fillId="5" borderId="0" xfId="0" applyNumberFormat="1" applyFont="1" applyFill="1" applyBorder="1"/>
    <x:xf numFmtId="200" fontId="3" fillId="5" borderId="1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200" fontId="0" fillId="6" borderId="0" xfId="0" applyNumberFormat="1" applyFont="1" applyFill="1" applyBorder="1" applyAlignment="1">
      <x:alignment wrapText="1"/>
    </x:xf>
    <x:xf numFmtId="201" fontId="0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200" fontId="0" fillId="6" borderId="1" xfId="0" applyNumberFormat="1" applyFont="1" applyFill="1" applyBorder="1" applyAlignment="1">
      <x:alignment wrapText="1"/>
    </x:xf>
    <x:xf numFmtId="201" fontId="0" fillId="6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6" borderId="1" xfId="0" applyNumberFormat="1" applyFont="1" applyFill="1" applyBorder="1"/>
    <x:xf numFmtId="0" fontId="3" fillId="6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1" fillId="7" borderId="0" xfId="0" applyNumberFormat="1" applyFont="1" applyFill="1" applyBorder="1"/>
    <x:xf numFmtId="0" fontId="2" fillId="8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wrapText="1"/>
    </x:xf>
    <x:xf numFmtId="200" fontId="3" fillId="5" borderId="0" xfId="0" applyNumberFormat="1" applyFont="1" applyFill="1" applyBorder="1" applyAlignment="1">
      <x:alignment wrapText="1"/>
    </x:xf>
    <x:xf numFmtId="201" fontId="3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b2be37483045b3" /><Relationship Type="http://schemas.openxmlformats.org/officeDocument/2006/relationships/theme" Target="/xl/theme/theme1.xml" Id="Rb29e835dfd014f56" /><Relationship Type="http://schemas.openxmlformats.org/officeDocument/2006/relationships/sharedStrings" Target="/xl/sharedStrings.xml" Id="Rf30a541dc2bb467f" /><Relationship Type="http://schemas.openxmlformats.org/officeDocument/2006/relationships/worksheet" Target="/xl/worksheets/sheet1.xml" Id="R3e2f1b85a0844521" /><Relationship Type="http://schemas.openxmlformats.org/officeDocument/2006/relationships/worksheet" Target="/xl/worksheets/sheet2.xml" Id="R914bdba8bc2d48f5" /><Relationship Type="http://schemas.openxmlformats.org/officeDocument/2006/relationships/worksheet" Target="/xl/worksheets/sheet3.xml" Id="Rddb7f564e70d405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15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29" hidden="0" customWidth="1"/>
    <x:col min="9" max="9" width="19" hidden="0" customWidth="1"/>
    <x:col min="10" max="10" width="52" hidden="0" customWidth="1"/>
    <x:col min="11" max="11" width="44" hidden="0" customWidth="1"/>
    <x:col min="12" max="12" width="18" hidden="0" customWidth="1"/>
    <x:col min="13" max="13" width="44" hidden="0" customWidth="1"/>
  </x:cols>
  <x:sheetData>
    <x:row r="1">
      <x:c r="A1" s="4" t="str">
        <x:v>Utility Audit — At Least One Core Utility Included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>
      <x:c r="A2" s="11" t="str">
        <x:v>41 of 74 Main Campus private-bedroom analytic listings (55.4%) explicitly establish at least one core utility as included through saved portal utility fields, saved listing wording or both. The denominator is the final 74-listing Main Campus analytic sample.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3">
      <x:c r="A3" s="11"/>
      <x:c r="B3" s="11"/>
      <x:c r="C3" s="11"/>
      <x:c r="D3" s="11"/>
      <x:c r="E3" s="11"/>
      <x:c r="F3" s="11"/>
      <x:c r="G3" s="11"/>
      <x:c r="H3" s="11"/>
      <x:c r="I3" s="11"/>
      <x:c r="J3" s="11"/>
      <x:c r="K3" s="11"/>
      <x:c r="L3" s="11"/>
      <x:c r="M3" s="11"/>
    </x:row>
    <x:row r="5">
      <x:c r="A5" s="19" t="str">
        <x:v>Listing ID</x:v>
      </x:c>
      <x:c r="B5" s="19" t="str">
        <x:v>Listing</x:v>
      </x:c>
      <x:c r="C5" s="19" t="str">
        <x:v>Advertised price</x:v>
      </x:c>
      <x:c r="D5" s="19" t="str">
        <x:v>Rent low</x:v>
      </x:c>
      <x:c r="E5" s="19" t="str">
        <x:v>Rent high</x:v>
      </x:c>
      <x:c r="F5" s="19" t="str">
        <x:v>Midpoint</x:v>
      </x:c>
      <x:c r="G5" s="19" t="str">
        <x:v>Distance (mi)</x:v>
      </x:c>
      <x:c r="H5" s="19" t="str">
        <x:v>Basis</x:v>
      </x:c>
      <x:c r="I5" s="19" t="str">
        <x:v>All utilities explicit?</x:v>
      </x:c>
      <x:c r="J5" s="19" t="str">
        <x:v>Evidence</x:v>
      </x:c>
      <x:c r="K5" s="19" t="str">
        <x:v>Original listing URL</x:v>
      </x:c>
      <x:c r="L5" s="19" t="str">
        <x:v>Internet/Wi-Fi explicit?</x:v>
      </x:c>
      <x:c r="M5" s="19" t="str">
        <x:v>Internet/Wi-Fi evidence</x:v>
      </x:c>
    </x:row>
    <x:row r="6">
      <x:c r="A6" s="28" t="str">
        <x:v>ocpet5b7hm</x:v>
      </x:c>
      <x:c r="B6" s="28" t="str">
        <x:v>Modern/High Ceilings 2bed/2 bath</x:v>
      </x:c>
      <x:c r="C6" s="28" t="str">
        <x:v>$1,250</x:v>
      </x:c>
      <x:c r="D6" s="29" t="n">
        <x:v>1250</x:v>
      </x:c>
      <x:c r="E6" s="29" t="n">
        <x:v>1250</x:v>
      </x:c>
      <x:c r="F6" s="29" t="n">
        <x:f>AVERAGE(D6:E6)</x:f>
        <x:v>1250</x:v>
      </x:c>
      <x:c r="G6" s="30" t="n">
        <x:v>1.026552005</x:v>
      </x:c>
      <x:c r="H6" s="28" t="str">
        <x:v>Structured utility fields</x:v>
      </x:c>
      <x:c r="I6" s="28" t="str">
        <x:v>No</x:v>
      </x:c>
      <x:c r="J6" s="28" t="str">
        <x:v>Electricity: Included
Gas: Included
Heat: Included
Trash Removal: Included
Water/Sewer: Included</x:v>
      </x:c>
      <x:c r="K6" s="28" t="str">
        <x:v>https://offcampus.dasa.ncsu.edu/housing/property/modern-high-ceilings-2bed-2-bath/ocpet5b7hm</x:v>
      </x:c>
      <x:c r="L6" s="28" t="str">
        <x:v>No</x:v>
      </x:c>
      <x:c r="M6" s="28" t="str"/>
    </x:row>
    <x:row r="7">
      <x:c r="A7" s="28" t="str">
        <x:v>7e6kx1w</x:v>
      </x:c>
      <x:c r="B7" s="28" t="str">
        <x:v>Centennial Ridge Student Housing</x:v>
      </x:c>
      <x:c r="C7" s="28" t="str">
        <x:v>$599 - $2,157</x:v>
      </x:c>
      <x:c r="D7" s="29" t="n">
        <x:v>599</x:v>
      </x:c>
      <x:c r="E7" s="29" t="n">
        <x:v>2157</x:v>
      </x:c>
      <x:c r="F7" s="29" t="n">
        <x:f>AVERAGE(D7:E7)</x:f>
        <x:v>1378</x:v>
      </x:c>
      <x:c r="G7" s="30" t="n">
        <x:v>2.372144719</x:v>
      </x:c>
      <x:c r="H7" s="28" t="str">
        <x:v>Structured utility fields</x:v>
      </x:c>
      <x:c r="I7" s="28" t="str">
        <x:v>No</x:v>
      </x:c>
      <x:c r="J7" s="28" t="str">
        <x:v>Air Conditioning: Included
Electricity: Included
Heat: Included
High-Speed Internet: Included
Water/Sewer: Included</x:v>
      </x:c>
      <x:c r="K7" s="28" t="str">
        <x:v>https://offcampus.dasa.ncsu.edu/housing/property/centennial-ridge-student-housing/7e6kx1w</x:v>
      </x:c>
      <x:c r="L7" s="28" t="str">
        <x:v>Yes</x:v>
      </x:c>
      <x:c r="M7" s="28" t="str">
        <x:v>High-Speed Internet: Included</x:v>
      </x:c>
    </x:row>
    <x:row r="8">
      <x:c r="A8" s="28" t="str">
        <x:v>ocpw46rjcl</x:v>
      </x:c>
      <x:c r="B8" s="28" t="str">
        <x:v>Brand New Luxury Furnished Townhome | 4 Bed /  3.5 Bath | 5 Min to NC State &amp; 3 Mins to Fenton +shop</x:v>
      </x:c>
      <x:c r="C8" s="28" t="str">
        <x:v>$900 - $1,050</x:v>
      </x:c>
      <x:c r="D8" s="29" t="n">
        <x:v>900</x:v>
      </x:c>
      <x:c r="E8" s="29" t="n">
        <x:v>1050</x:v>
      </x:c>
      <x:c r="F8" s="29" t="n">
        <x:f>AVERAGE(D8:E8)</x:f>
        <x:v>975</x:v>
      </x:c>
      <x:c r="G8" s="30" t="n">
        <x:v>3.33499703</x:v>
      </x:c>
      <x:c r="H8" s="28" t="str">
        <x:v>Saved description</x:v>
      </x:c>
      <x:c r="I8" s="28" t="str">
        <x:v>Yes</x:v>
      </x:c>
      <x:c r="J8" s="28" t="str">
        <x:v>All utilities included</x:v>
      </x:c>
      <x:c r="K8" s="28" t="str">
        <x:v>https://offcampus.dasa.ncsu.edu/housing/property/brand-new-luxury-furnished-townhome-4-bed-3-5-bath-5-min-to-nc-state-and-3-mins-to-fenton-shop/ocpw46rjcl</x:v>
      </x:c>
      <x:c r="L8" s="28" t="str">
        <x:v>Yes</x:v>
      </x:c>
      <x:c r="M8" s="28" t="str">
        <x:v>High-speed internet included</x:v>
      </x:c>
    </x:row>
    <x:row r="9">
      <x:c r="A9" s="28" t="str">
        <x:v>ocpchygggd</x:v>
      </x:c>
      <x:c r="B9" s="28" t="str">
        <x:v>Hurry 2 Rooms Left! – 4BR/4BA Condo Near NC State  – All Utilities &amp; Internet Included!</x:v>
      </x:c>
      <x:c r="C9" s="28" t="str">
        <x:v>$695</x:v>
      </x:c>
      <x:c r="D9" s="29" t="n">
        <x:v>695</x:v>
      </x:c>
      <x:c r="E9" s="29" t="n">
        <x:v>695</x:v>
      </x:c>
      <x:c r="F9" s="29" t="n">
        <x:f>AVERAGE(D9:E9)</x:f>
        <x:v>695</x:v>
      </x:c>
      <x:c r="G9" s="30" t="n">
        <x:v>2.192366298</x:v>
      </x:c>
      <x:c r="H9" s="28" t="str">
        <x:v>Structured utility fields + saved description</x:v>
      </x:c>
      <x:c r="I9" s="28" t="str">
        <x:v>Yes</x:v>
      </x:c>
      <x:c r="J9" s="28" t="str">
        <x:v>Rent is $695 per month per room and includes all utilities (electricity, water, and internet), with no hidden fees.</x:v>
      </x:c>
      <x:c r="K9" s="28" t="str">
        <x:v>https://offcampus.dasa.ncsu.edu/housing/property/hurry-2-rooms-left-4br-4ba-condo-near-nc-state-all-utilities-and-internet-included/ocpchygggd</x:v>
      </x:c>
      <x:c r="L9" s="28" t="str">
        <x:v>Yes</x:v>
      </x:c>
      <x:c r="M9" s="28" t="str">
        <x:v>High-Speed Internet: Included | Rent is $695 per month per room and includes all utilities (electricity, water, and internet), with no hidden fees.</x:v>
      </x:c>
    </x:row>
    <x:row r="10">
      <x:c r="A10" s="28" t="str">
        <x:v>ocpesl9n3p</x:v>
      </x:c>
      <x:c r="B10" s="28" t="str">
        <x:v>maisonNC --- Fully Furnished minutes away from Wolfline and Shopping</x:v>
      </x:c>
      <x:c r="C10" s="28" t="str">
        <x:v>$750</x:v>
      </x:c>
      <x:c r="D10" s="29" t="n">
        <x:v>750</x:v>
      </x:c>
      <x:c r="E10" s="29" t="n">
        <x:v>750</x:v>
      </x:c>
      <x:c r="F10" s="29" t="n">
        <x:f>AVERAGE(D10:E10)</x:f>
        <x:v>750</x:v>
      </x:c>
      <x:c r="G10" s="30" t="n">
        <x:v>1.619349362</x:v>
      </x:c>
      <x:c r="H10" s="28" t="str">
        <x:v>Saved description</x:v>
      </x:c>
      <x:c r="I10" s="28" t="str">
        <x:v>Yes</x:v>
      </x:c>
      <x:c r="J10" s="28" t="str">
        <x:v>All utilities, wifi (google fiber) and parking included in the rent.</x:v>
      </x:c>
      <x:c r="K10" s="28" t="str">
        <x:v>https://offcampus.dasa.ncsu.edu/housing/property/maisonnc-fully-furnished-minutes-away-from-wolfline-and-shopping/ocpesl9n3p</x:v>
      </x:c>
      <x:c r="L10" s="28" t="str">
        <x:v>Yes</x:v>
      </x:c>
      <x:c r="M10" s="28" t="str">
        <x:v>All utilities, wifi (google fiber) and parking included in the rent.</x:v>
      </x:c>
    </x:row>
    <x:row r="11">
      <x:c r="A11" s="28" t="str">
        <x:v>ocpcm3jede</x:v>
      </x:c>
      <x:c r="B11" s="28" t="str">
        <x:v>maisonNC --- Fully Furnished minutes away from Wolfline and Shopping</x:v>
      </x:c>
      <x:c r="C11" s="28" t="str">
        <x:v>$750</x:v>
      </x:c>
      <x:c r="D11" s="29" t="n">
        <x:v>750</x:v>
      </x:c>
      <x:c r="E11" s="29" t="n">
        <x:v>750</x:v>
      </x:c>
      <x:c r="F11" s="29" t="n">
        <x:f>AVERAGE(D11:E11)</x:f>
        <x:v>750</x:v>
      </x:c>
      <x:c r="G11" s="30" t="n">
        <x:v>1.600371218</x:v>
      </x:c>
      <x:c r="H11" s="28" t="str">
        <x:v>Structured utility fields + saved description</x:v>
      </x:c>
      <x:c r="I11" s="28" t="str">
        <x:v>Yes</x:v>
      </x:c>
      <x:c r="J11" s="28" t="str">
        <x:v>Rent includes all utilities, wifi and parking.</x:v>
      </x:c>
      <x:c r="K11" s="28" t="str">
        <x:v>https://offcampus.dasa.ncsu.edu/housing/property/maisonnc-fully-furnished-minutes-away-from-wolfline-and-shopping/ocpcm3jede</x:v>
      </x:c>
      <x:c r="L11" s="28" t="str">
        <x:v>Yes</x:v>
      </x:c>
      <x:c r="M11" s="28" t="str">
        <x:v>High-Speed Internet: Included | Rent includes all utilities, wifi and parking.</x:v>
      </x:c>
    </x:row>
    <x:row r="12">
      <x:c r="A12" s="28" t="str">
        <x:v>ocpnx5c0kn</x:v>
      </x:c>
      <x:c r="B12" s="28" t="str">
        <x:v>Modern &amp; spacious 3BR/3BA Apartment w/View</x:v>
      </x:c>
      <x:c r="C12" s="28" t="str">
        <x:v>$1,000</x:v>
      </x:c>
      <x:c r="D12" s="29" t="n">
        <x:v>1000</x:v>
      </x:c>
      <x:c r="E12" s="29" t="n">
        <x:v>1000</x:v>
      </x:c>
      <x:c r="F12" s="29" t="n">
        <x:f>AVERAGE(D12:E12)</x:f>
        <x:v>1000</x:v>
      </x:c>
      <x:c r="G12" s="30" t="n">
        <x:v>1.036129373</x:v>
      </x:c>
      <x:c r="H12" s="28" t="str">
        <x:v>Structured utility fields</x:v>
      </x:c>
      <x:c r="I12" s="28" t="str">
        <x:v>No</x:v>
      </x:c>
      <x:c r="J12" s="28" t="str">
        <x:v>Electricity: Included
Gas: Included
Heat: Included
High-Speed Internet: Included
Trash Removal: Included
Water/Sewer: Included</x:v>
      </x:c>
      <x:c r="K12" s="28" t="str">
        <x:v>https://offcampus.dasa.ncsu.edu/housing/property/modern-and-spacious-3br-3ba-apartment-w-view/ocpnx5c0kn</x:v>
      </x:c>
      <x:c r="L12" s="28" t="str">
        <x:v>Yes</x:v>
      </x:c>
      <x:c r="M12" s="28" t="str">
        <x:v>High-Speed Internet: Included</x:v>
      </x:c>
    </x:row>
    <x:row r="13">
      <x:c r="A13" s="28" t="str">
        <x:v>ocpjeweyz6</x:v>
      </x:c>
      <x:c r="B13" s="28" t="str">
        <x:v>All Girls Unit - Room with Private Bathroom at  University Woods at Centennial Condominiums</x:v>
      </x:c>
      <x:c r="C13" s="28" t="str">
        <x:v>$645</x:v>
      </x:c>
      <x:c r="D13" s="29" t="n">
        <x:v>645</x:v>
      </x:c>
      <x:c r="E13" s="29" t="n">
        <x:v>645</x:v>
      </x:c>
      <x:c r="F13" s="29" t="n">
        <x:f>AVERAGE(D13:E13)</x:f>
        <x:v>645</x:v>
      </x:c>
      <x:c r="G13" s="30" t="n">
        <x:v>2.188347488</x:v>
      </x:c>
      <x:c r="H13" s="28" t="str">
        <x:v>Structured utility fields + saved description</x:v>
      </x:c>
      <x:c r="I13" s="28" t="str">
        <x:v>No</x:v>
      </x:c>
      <x:c r="J13" s="28" t="str">
        <x:v>Included: sewer, trash
Not included: Water, Internet and Electricity (shared among roommates)</x:v>
      </x:c>
      <x:c r="K13" s="28" t="str">
        <x:v>https://offcampus.dasa.ncsu.edu/housing/property/all-girls-unit-room-with-private-bathroom-at-university-woods-at-centennial-condominiums/ocpjeweyz6</x:v>
      </x:c>
      <x:c r="L13" s="28" t="str">
        <x:v>Yes</x:v>
      </x:c>
      <x:c r="M13" s="28" t="str">
        <x:v>Not included: Water, Internet and Electricity (shared among roommates)</x:v>
      </x:c>
    </x:row>
    <x:row r="14">
      <x:c r="A14" s="28" t="str">
        <x:v>0smdl31</x:v>
      </x:c>
      <x:c r="B14" s="28" t="str">
        <x:v>Paloma Raleigh</x:v>
      </x:c>
      <x:c r="C14" s="28" t="str">
        <x:v>$749 - $1,599</x:v>
      </x:c>
      <x:c r="D14" s="29" t="n">
        <x:v>749</x:v>
      </x:c>
      <x:c r="E14" s="29" t="n">
        <x:v>1599</x:v>
      </x:c>
      <x:c r="F14" s="29" t="n">
        <x:f>AVERAGE(D14:E14)</x:f>
        <x:v>1174</x:v>
      </x:c>
      <x:c r="G14" s="30" t="n">
        <x:v>2.624931081</x:v>
      </x:c>
      <x:c r="H14" s="28" t="str">
        <x:v>Structured utility fields</x:v>
      </x:c>
      <x:c r="I14" s="28" t="str">
        <x:v>No</x:v>
      </x:c>
      <x:c r="J14" s="28" t="str">
        <x:v>Air Conditioning: Included
Cable: Included
Gas: Included
Heat: Included
High-Speed Internet: Included
Trash Removal: Included
Water/Sewer: Included</x:v>
      </x:c>
      <x:c r="K14" s="28" t="str">
        <x:v>https://offcampus.dasa.ncsu.edu/housing/property/paloma-raleigh/0smdl31</x:v>
      </x:c>
      <x:c r="L14" s="28" t="str">
        <x:v>Yes</x:v>
      </x:c>
      <x:c r="M14" s="28" t="str">
        <x:v>High-Speed Internet: Included</x:v>
      </x:c>
    </x:row>
    <x:row r="15">
      <x:c r="A15" s="28" t="str">
        <x:v>ocppjxdd3r</x:v>
      </x:c>
      <x:c r="B15" s="28" t="str">
        <x:v>Collegeview Duplex--Brand New Luxury Housing within walking distance to NCSU</x:v>
      </x:c>
      <x:c r="C15" s="28" t="str">
        <x:v>$900 - $950</x:v>
      </x:c>
      <x:c r="D15" s="29" t="n">
        <x:v>900</x:v>
      </x:c>
      <x:c r="E15" s="29" t="n">
        <x:v>950</x:v>
      </x:c>
      <x:c r="F15" s="29" t="n">
        <x:f>AVERAGE(D15:E15)</x:f>
        <x:v>925</x:v>
      </x:c>
      <x:c r="G15" s="30" t="n">
        <x:v>0.249152533</x:v>
      </x:c>
      <x:c r="H15" s="28" t="str">
        <x:v>Structured utility fields</x:v>
      </x:c>
      <x:c r="I15" s="28" t="str">
        <x:v>No</x:v>
      </x:c>
      <x:c r="J15" s="28" t="str">
        <x:v>Recycling: Included
Trash Removal: Included</x:v>
      </x:c>
      <x:c r="K15" s="28" t="str">
        <x:v>https://offcampus.dasa.ncsu.edu/housing/property/collegeview-duplex-brand-new-luxury-housing-within-walking-distance-to-ncsu/ocppjxdd3r</x:v>
      </x:c>
      <x:c r="L15" s="28" t="str">
        <x:v>No</x:v>
      </x:c>
      <x:c r="M15" s="28" t="str"/>
    </x:row>
    <x:row r="16">
      <x:c r="A16" s="28" t="str">
        <x:v>ocpe1n95cm</x:v>
      </x:c>
      <x:c r="B16" s="28" t="str">
        <x:v>Big Promotion w/best price ever. Move in Immediately . MarcomTowns. Great location nice</x:v>
      </x:c>
      <x:c r="C16" s="28" t="str">
        <x:v>$950</x:v>
      </x:c>
      <x:c r="D16" s="29" t="n">
        <x:v>950</x:v>
      </x:c>
      <x:c r="E16" s="29" t="n">
        <x:v>950</x:v>
      </x:c>
      <x:c r="F16" s="29" t="n">
        <x:f>AVERAGE(D16:E16)</x:f>
        <x:v>950</x:v>
      </x:c>
      <x:c r="G16" s="30" t="n">
        <x:v>0.243489368</x:v>
      </x:c>
      <x:c r="H16" s="28" t="str">
        <x:v>Structured utility fields</x:v>
      </x:c>
      <x:c r="I16" s="28" t="str">
        <x:v>No</x:v>
      </x:c>
      <x:c r="J16" s="28" t="str">
        <x:v>Recycling: Included
Trash Removal: Included</x:v>
      </x:c>
      <x:c r="K16" s="28" t="str">
        <x:v>https://offcampus.dasa.ncsu.edu/housing/property/big-promotion-w-best-price-ever-move-in-immediately-marcomtowns-great-location-nice/ocpe1n95cm</x:v>
      </x:c>
      <x:c r="L16" s="28" t="str">
        <x:v>No</x:v>
      </x:c>
      <x:c r="M16" s="28" t="str"/>
    </x:row>
    <x:row r="17">
      <x:c r="A17" s="28" t="str">
        <x:v>ocp2evl6hb</x:v>
      </x:c>
      <x:c r="B17" s="28" t="str">
        <x:v>University Oaks -</x:v>
      </x:c>
      <x:c r="C17" s="28" t="str">
        <x:v>$725</x:v>
      </x:c>
      <x:c r="D17" s="29" t="n">
        <x:v>725</x:v>
      </x:c>
      <x:c r="E17" s="29" t="n">
        <x:v>725</x:v>
      </x:c>
      <x:c r="F17" s="29" t="n">
        <x:f>AVERAGE(D17:E17)</x:f>
        <x:v>725</x:v>
      </x:c>
      <x:c r="G17" s="30" t="n">
        <x:v>0.440031949</x:v>
      </x:c>
      <x:c r="H17" s="28" t="str">
        <x:v>Structured utility fields + saved description</x:v>
      </x:c>
      <x:c r="I17" s="28" t="str">
        <x:v>No</x:v>
      </x:c>
      <x:c r="J17" s="28" t="str">
        <x:v>Parking, utilities, internet - included.</x:v>
      </x:c>
      <x:c r="K17" s="28" t="str">
        <x:v>https://offcampus.dasa.ncsu.edu/housing/property/university-oaks/ocp2evl6hb</x:v>
      </x:c>
      <x:c r="L17" s="28" t="str">
        <x:v>Yes</x:v>
      </x:c>
      <x:c r="M17" s="28" t="str">
        <x:v>High-Speed Internet: Included | Parking, utilities, internet - included.</x:v>
      </x:c>
    </x:row>
    <x:row r="18">
      <x:c r="A18" s="28" t="str">
        <x:v>ocpvlydr3e</x:v>
      </x:c>
      <x:c r="B18" s="28" t="str">
        <x:v>Reavis ---Brand New Luxury Housing within walking distance to NCSU</x:v>
      </x:c>
      <x:c r="C18" s="28" t="str">
        <x:v>$925 - $975</x:v>
      </x:c>
      <x:c r="D18" s="29" t="n">
        <x:v>925</x:v>
      </x:c>
      <x:c r="E18" s="29" t="n">
        <x:v>975</x:v>
      </x:c>
      <x:c r="F18" s="29" t="n">
        <x:f>AVERAGE(D18:E18)</x:f>
        <x:v>950</x:v>
      </x:c>
      <x:c r="G18" s="30" t="n">
        <x:v>0.846079213</x:v>
      </x:c>
      <x:c r="H18" s="28" t="str">
        <x:v>Structured utility fields</x:v>
      </x:c>
      <x:c r="I18" s="28" t="str">
        <x:v>No</x:v>
      </x:c>
      <x:c r="J18" s="28" t="str">
        <x:v>Recycling: Included
Trash Removal: Included</x:v>
      </x:c>
      <x:c r="K18" s="28" t="str">
        <x:v>https://offcampus.dasa.ncsu.edu/housing/property/reavis-brand-new-luxury-housing-within-walking-distance-to-ncsu/ocpvlydr3e</x:v>
      </x:c>
      <x:c r="L18" s="28" t="str">
        <x:v>No</x:v>
      </x:c>
      <x:c r="M18" s="28" t="str"/>
    </x:row>
    <x:row r="19">
      <x:c r="A19" s="28" t="str">
        <x:v>ocpxdxd79p</x:v>
      </x:c>
      <x:c r="B19" s="28" t="str">
        <x:v>4BR/4BA Condo| On Wolfline | Preleasing 27-28 Special $850 Util/Parking Incld | Mile to Campus</x:v>
      </x:c>
      <x:c r="C19" s="28" t="str">
        <x:v>$875</x:v>
      </x:c>
      <x:c r="D19" s="29" t="n">
        <x:v>875</x:v>
      </x:c>
      <x:c r="E19" s="29" t="n">
        <x:v>875</x:v>
      </x:c>
      <x:c r="F19" s="29" t="n">
        <x:f>AVERAGE(D19:E19)</x:f>
        <x:v>875</x:v>
      </x:c>
      <x:c r="G19" s="30" t="n">
        <x:v>0.655411437</x:v>
      </x:c>
      <x:c r="H19" s="28" t="str">
        <x:v>Structured utility fields + saved description</x:v>
      </x:c>
      <x:c r="I19" s="28" t="str">
        <x:v>Yes</x:v>
      </x:c>
      <x:c r="J19" s="28" t="str">
        <x:v>* All utilities included: Electric, water, trash, and unlimited Google Fiber High-Speed Internet</x:v>
      </x:c>
      <x:c r="K19" s="28" t="str">
        <x:v>https://offcampus.dasa.ncsu.edu/housing/property/4br-4ba-condo-on-wolfline-preleasing-27-28-special-850-util-parking-incld-mile-to-campus/ocpxdxd79p</x:v>
      </x:c>
      <x:c r="L19" s="28" t="str">
        <x:v>Yes</x:v>
      </x:c>
      <x:c r="M19" s="28" t="str">
        <x:v>High-Speed Internet: Included | * All utilities included: Electric, water, trash, and unlimited Google Fiber High-Speed Internet</x:v>
      </x:c>
    </x:row>
    <x:row r="20">
      <x:c r="A20" s="28" t="str">
        <x:v>ocpm68s5sh</x:v>
      </x:c>
      <x:c r="B20" s="28" t="str">
        <x:v>Burt Drive Townhouses---Brand New Luxury Housing within walking distance to NCSU</x:v>
      </x:c>
      <x:c r="C20" s="28" t="str">
        <x:v>$1,050</x:v>
      </x:c>
      <x:c r="D20" s="29" t="n">
        <x:v>1050</x:v>
      </x:c>
      <x:c r="E20" s="29" t="n">
        <x:v>1050</x:v>
      </x:c>
      <x:c r="F20" s="29" t="n">
        <x:f>AVERAGE(D20:E20)</x:f>
        <x:v>1050</x:v>
      </x:c>
      <x:c r="G20" s="30" t="n">
        <x:v>0.339887457</x:v>
      </x:c>
      <x:c r="H20" s="28" t="str">
        <x:v>Structured utility fields</x:v>
      </x:c>
      <x:c r="I20" s="28" t="str">
        <x:v>No</x:v>
      </x:c>
      <x:c r="J20" s="28" t="str">
        <x:v>Recycling: Included
Trash Removal: Included</x:v>
      </x:c>
      <x:c r="K20" s="28" t="str">
        <x:v>https://offcampus.dasa.ncsu.edu/housing/property/burt-drive-townhouses-brand-new-luxury-housing-within-walking-distance-to-ncsu/ocpm68s5sh</x:v>
      </x:c>
      <x:c r="L20" s="28" t="str">
        <x:v>No</x:v>
      </x:c>
      <x:c r="M20" s="28" t="str"/>
    </x:row>
    <x:row r="21">
      <x:c r="A21" s="28" t="str">
        <x:v>z8cfdjw</x:v>
      </x:c>
      <x:c r="B21" s="28" t="str">
        <x:v>Campus Crossings Raleigh</x:v>
      </x:c>
      <x:c r="C21" s="28" t="str">
        <x:v>$685 - $870</x:v>
      </x:c>
      <x:c r="D21" s="29" t="n">
        <x:v>685</x:v>
      </x:c>
      <x:c r="E21" s="29" t="n">
        <x:v>870</x:v>
      </x:c>
      <x:c r="F21" s="29" t="n">
        <x:f>AVERAGE(D21:E21)</x:f>
        <x:v>777.5</x:v>
      </x:c>
      <x:c r="G21" s="30" t="n">
        <x:v>2.420198986</x:v>
      </x:c>
      <x:c r="H21" s="28" t="str">
        <x:v>Structured utility fields</x:v>
      </x:c>
      <x:c r="I21" s="28" t="str">
        <x:v>No</x:v>
      </x:c>
      <x:c r="J21" s="28" t="str">
        <x:v>Air Conditioning: Included
Electricity: Included
Heat: Included
High-Speed Internet: Included
Trash Removal: Included
Water/Sewer: Included</x:v>
      </x:c>
      <x:c r="K21" s="28" t="str">
        <x:v>https://offcampus.dasa.ncsu.edu/housing/property/campus-crossings-raleigh/z8cfdjw</x:v>
      </x:c>
      <x:c r="L21" s="28" t="str">
        <x:v>Yes</x:v>
      </x:c>
      <x:c r="M21" s="28" t="str">
        <x:v>High-Speed Internet: Included</x:v>
      </x:c>
    </x:row>
    <x:row r="22">
      <x:c r="A22" s="28" t="str">
        <x:v>ocp6mp93ms</x:v>
      </x:c>
      <x:c r="B22" s="28" t="str">
        <x:v>Newly Renovated - All Girls Unit Room with Private Bathroom</x:v>
      </x:c>
      <x:c r="C22" s="28" t="str">
        <x:v>$645</x:v>
      </x:c>
      <x:c r="D22" s="29" t="n">
        <x:v>645</x:v>
      </x:c>
      <x:c r="E22" s="29" t="n">
        <x:v>645</x:v>
      </x:c>
      <x:c r="F22" s="29" t="n">
        <x:f>AVERAGE(D22:E22)</x:f>
        <x:v>645</x:v>
      </x:c>
      <x:c r="G22" s="30" t="n">
        <x:v>2.193838767</x:v>
      </x:c>
      <x:c r="H22" s="28" t="str">
        <x:v>Saved description</x:v>
      </x:c>
      <x:c r="I22" s="28" t="str">
        <x:v>No</x:v>
      </x:c>
      <x:c r="J22" s="28" t="str">
        <x:v>Included: sewer, trash
Not included: Water, Internet and Electricity (shared among roommates)</x:v>
      </x:c>
      <x:c r="K22" s="28" t="str">
        <x:v>https://offcampus.dasa.ncsu.edu/housing/property/newly-renovated-all-girls-unit-room-with-private-bathroom/ocp6mp93ms</x:v>
      </x:c>
      <x:c r="L22" s="28" t="str">
        <x:v>Yes</x:v>
      </x:c>
      <x:c r="M22" s="28" t="str">
        <x:v>Not included: Water, Internet and Electricity (shared among roommates)</x:v>
      </x:c>
    </x:row>
    <x:row r="23">
      <x:c r="A23" s="28" t="str">
        <x:v>5x5ph7m</x:v>
      </x:c>
      <x:c r="B23" s="28" t="str">
        <x:v>Redpoint Raleigh</x:v>
      </x:c>
      <x:c r="C23" s="28" t="str">
        <x:v>$899 - $995</x:v>
      </x:c>
      <x:c r="D23" s="29" t="n">
        <x:v>899</x:v>
      </x:c>
      <x:c r="E23" s="29" t="n">
        <x:v>995</x:v>
      </x:c>
      <x:c r="F23" s="29" t="n">
        <x:f>AVERAGE(D23:E23)</x:f>
        <x:v>947</x:v>
      </x:c>
      <x:c r="G23" s="30" t="n">
        <x:v>2.69627335</x:v>
      </x:c>
      <x:c r="H23" s="28" t="str">
        <x:v>Structured utility fields</x:v>
      </x:c>
      <x:c r="I23" s="28" t="str">
        <x:v>No</x:v>
      </x:c>
      <x:c r="J23" s="28" t="str">
        <x:v>Air Conditioning: Included
Gas: Included
Heat: Included
High-Speed Internet: Included
Trash Removal: Included
Water/Sewer: Included</x:v>
      </x:c>
      <x:c r="K23" s="28" t="str">
        <x:v>https://offcampus.dasa.ncsu.edu/housing/property/redpoint-raleigh/5x5ph7m</x:v>
      </x:c>
      <x:c r="L23" s="28" t="str">
        <x:v>Yes</x:v>
      </x:c>
      <x:c r="M23" s="28" t="str">
        <x:v>High-Speed Internet: Included</x:v>
      </x:c>
    </x:row>
    <x:row r="24">
      <x:c r="A24" s="28" t="str">
        <x:v>jjs8f07</x:v>
      </x:c>
      <x:c r="B24" s="28" t="str">
        <x:v>Village Green Student Housing</x:v>
      </x:c>
      <x:c r="C24" s="28" t="str">
        <x:v>$649 - $839</x:v>
      </x:c>
      <x:c r="D24" s="29" t="n">
        <x:v>649</x:v>
      </x:c>
      <x:c r="E24" s="29" t="n">
        <x:v>839</x:v>
      </x:c>
      <x:c r="F24" s="29" t="n">
        <x:f>AVERAGE(D24:E24)</x:f>
        <x:v>744</x:v>
      </x:c>
      <x:c r="G24" s="30" t="n">
        <x:v>1.932509975</x:v>
      </x:c>
      <x:c r="H24" s="28" t="str">
        <x:v>Structured utility fields</x:v>
      </x:c>
      <x:c r="I24" s="28" t="str">
        <x:v>No</x:v>
      </x:c>
      <x:c r="J24" s="28" t="str">
        <x:v>Air Conditioning: Included
Electricity: Included
Gas: Included
Heat: Included
High-Speed Internet: Included
Trash Removal: Included
Water/Sewer: Included</x:v>
      </x:c>
      <x:c r="K24" s="28" t="str">
        <x:v>https://offcampus.dasa.ncsu.edu/housing/property/village-green-student-housing/jjs8f07</x:v>
      </x:c>
      <x:c r="L24" s="28" t="str">
        <x:v>Yes</x:v>
      </x:c>
      <x:c r="M24" s="28" t="str">
        <x:v>High-Speed Internet: Included</x:v>
      </x:c>
    </x:row>
    <x:row r="25">
      <x:c r="A25" s="28" t="str">
        <x:v>ocpbhbkvy9</x:v>
      </x:c>
      <x:c r="B25" s="28" t="str">
        <x:v>Voyager House</x:v>
      </x:c>
      <x:c r="C25" s="28" t="str">
        <x:v>$800</x:v>
      </x:c>
      <x:c r="D25" s="29" t="n">
        <x:v>800</x:v>
      </x:c>
      <x:c r="E25" s="29" t="n">
        <x:v>800</x:v>
      </x:c>
      <x:c r="F25" s="29" t="n">
        <x:f>AVERAGE(D25:E25)</x:f>
        <x:v>800</x:v>
      </x:c>
      <x:c r="G25" s="30" t="n">
        <x:v>1.884049975</x:v>
      </x:c>
      <x:c r="H25" s="28" t="str">
        <x:v>Structured utility fields</x:v>
      </x:c>
      <x:c r="I25" s="28" t="str">
        <x:v>No</x:v>
      </x:c>
      <x:c r="J25" s="28" t="str">
        <x:v>Electricity: Included
Gas: Included
Heat: Included
High-Speed Internet: Included
Recycling: Included
Trash Removal: Included
Water/Sewer: Included</x:v>
      </x:c>
      <x:c r="K25" s="28" t="str">
        <x:v>https://offcampus.dasa.ncsu.edu/housing/property/voyager-house/ocpbhbkvy9</x:v>
      </x:c>
      <x:c r="L25" s="28" t="str">
        <x:v>Yes</x:v>
      </x:c>
      <x:c r="M25" s="28" t="str">
        <x:v>High-Speed Internet: Included</x:v>
      </x:c>
    </x:row>
    <x:row r="26">
      <x:c r="A26" s="28" t="str">
        <x:v>e13mz5m</x:v>
      </x:c>
      <x:c r="B26" s="28" t="str">
        <x:v>University Suites Student Housing</x:v>
      </x:c>
      <x:c r="C26" s="28" t="str">
        <x:v>$699 - $799</x:v>
      </x:c>
      <x:c r="D26" s="29" t="n">
        <x:v>699</x:v>
      </x:c>
      <x:c r="E26" s="29" t="n">
        <x:v>799</x:v>
      </x:c>
      <x:c r="F26" s="29" t="n">
        <x:f>AVERAGE(D26:E26)</x:f>
        <x:v>749</x:v>
      </x:c>
      <x:c r="G26" s="30" t="n">
        <x:v>2.29213488</x:v>
      </x:c>
      <x:c r="H26" s="28" t="str">
        <x:v>Structured utility fields</x:v>
      </x:c>
      <x:c r="I26" s="28" t="str">
        <x:v>No</x:v>
      </x:c>
      <x:c r="J26" s="28" t="str">
        <x:v>Electricity: Included
High-Speed Internet: Included
Trash Removal: Included
Water/Sewer: Included</x:v>
      </x:c>
      <x:c r="K26" s="28" t="str">
        <x:v>https://offcampus.dasa.ncsu.edu/housing/property/university-suites-student-housing/e13mz5m</x:v>
      </x:c>
      <x:c r="L26" s="28" t="str">
        <x:v>Yes</x:v>
      </x:c>
      <x:c r="M26" s="28" t="str">
        <x:v>High-Speed Internet: Included</x:v>
      </x:c>
    </x:row>
    <x:row r="27">
      <x:c r="A27" s="28" t="str">
        <x:v>ocpepvxvln</x:v>
      </x:c>
      <x:c r="B27" s="28" t="str">
        <x:v>Village Green Student Living</x:v>
      </x:c>
      <x:c r="C27" s="28" t="str">
        <x:v>$831</x:v>
      </x:c>
      <x:c r="D27" s="29" t="n">
        <x:v>831</x:v>
      </x:c>
      <x:c r="E27" s="29" t="n">
        <x:v>831</x:v>
      </x:c>
      <x:c r="F27" s="29" t="n">
        <x:f>AVERAGE(D27:E27)</x:f>
        <x:v>831</x:v>
      </x:c>
      <x:c r="G27" s="30" t="n">
        <x:v>1.815869405</x:v>
      </x:c>
      <x:c r="H27" s="28" t="str">
        <x:v>Saved description</x:v>
      </x:c>
      <x:c r="I27" s="28" t="str">
        <x:v>Yes</x:v>
      </x:c>
      <x:c r="J27" s="28" t="str">
        <x:v>The price of parking and all utilities are included in the base rent fee of ~$831/month.</x:v>
      </x:c>
      <x:c r="K27" s="28" t="str">
        <x:v>https://offcampus.dasa.ncsu.edu/housing/property/village-green-student-living/ocpepvxvln</x:v>
      </x:c>
      <x:c r="L27" s="28" t="str">
        <x:v>No</x:v>
      </x:c>
      <x:c r="M27" s="28" t="str"/>
    </x:row>
    <x:row r="28">
      <x:c r="A28" s="28" t="str">
        <x:v>ocpgxr290w</x:v>
      </x:c>
      <x:c r="B28" s="28" t="str">
        <x:v>Spacious Forest Park Two-Room Suite + Private Bath - Walk to Campus (Includes Utilities)</x:v>
      </x:c>
      <x:c r="C28" s="28" t="str">
        <x:v>$1,225</x:v>
      </x:c>
      <x:c r="D28" s="29" t="n">
        <x:v>1225</x:v>
      </x:c>
      <x:c r="E28" s="29" t="n">
        <x:v>1225</x:v>
      </x:c>
      <x:c r="F28" s="29" t="n">
        <x:f>AVERAGE(D28:E28)</x:f>
        <x:v>1225</x:v>
      </x:c>
      <x:c r="G28" s="30" t="n">
        <x:v>1.604060636</x:v>
      </x:c>
      <x:c r="H28" s="28" t="str">
        <x:v>Saved listing title</x:v>
      </x:c>
      <x:c r="I28" s="28" t="str">
        <x:v>No</x:v>
      </x:c>
      <x:c r="J28" s="28" t="str">
        <x:v>Spacious Forest Park Two-Room Suite + Private Bath - Walk to Campus (Includes Utilities)</x:v>
      </x:c>
      <x:c r="K28" s="28" t="str">
        <x:v>https://offcampus.dasa.ncsu.edu/housing/property/spacious-forest-park-two-room-suite-private-bath-walk-to-campus-includes-utilities/ocpgxr290w</x:v>
      </x:c>
      <x:c r="L28" s="28" t="str">
        <x:v>No</x:v>
      </x:c>
      <x:c r="M28" s="28" t="str"/>
    </x:row>
    <x:row r="29">
      <x:c r="A29" s="28" t="str">
        <x:v>ocpsd8dpj6</x:v>
      </x:c>
      <x:c r="B29" s="28" t="str">
        <x:v>Spacious En-suite with private patio and garage parking in Crescent Ridge Townhome Community</x:v>
      </x:c>
      <x:c r="C29" s="28" t="str">
        <x:v>$900</x:v>
      </x:c>
      <x:c r="D29" s="29" t="n">
        <x:v>900</x:v>
      </x:c>
      <x:c r="E29" s="29" t="n">
        <x:v>900</x:v>
      </x:c>
      <x:c r="F29" s="29" t="n">
        <x:f>AVERAGE(D29:E29)</x:f>
        <x:v>900</x:v>
      </x:c>
      <x:c r="G29" s="30" t="n">
        <x:v>2.725369678</x:v>
      </x:c>
      <x:c r="H29" s="28" t="str">
        <x:v>Structured utility fields + saved description</x:v>
      </x:c>
      <x:c r="I29" s="28" t="str">
        <x:v>No</x:v>
      </x:c>
      <x:c r="J29" s="28" t="str">
        <x:v>Internet and utilities are included as well as garage parking and access to the neighborhood pool.</x:v>
      </x:c>
      <x:c r="K29" s="28" t="str">
        <x:v>https://offcampus.dasa.ncsu.edu/housing/property/spacious-en-suite-with-private-patio-and-garage-parking-in-crescent-ridge-townhome-community/ocpsd8dpj6</x:v>
      </x:c>
      <x:c r="L29" s="28" t="str">
        <x:v>Yes</x:v>
      </x:c>
      <x:c r="M29" s="28" t="str">
        <x:v>High-Speed Internet: Included | Internet and utilities are included as well as garage parking and access to the neighborhood pool.</x:v>
      </x:c>
    </x:row>
    <x:row r="30">
      <x:c r="A30" s="28" t="str">
        <x:v>ocp2gxtxqc</x:v>
      </x:c>
      <x:c r="B30" s="28" t="str">
        <x:v>The Station</x:v>
      </x:c>
      <x:c r="C30" s="28" t="str">
        <x:v>$969</x:v>
      </x:c>
      <x:c r="D30" s="29" t="n">
        <x:v>969</x:v>
      </x:c>
      <x:c r="E30" s="29" t="n">
        <x:v>969</x:v>
      </x:c>
      <x:c r="F30" s="29" t="n">
        <x:f>AVERAGE(D30:E30)</x:f>
        <x:v>969</x:v>
      </x:c>
      <x:c r="G30" s="30" t="n">
        <x:v>2.152909218</x:v>
      </x:c>
      <x:c r="H30" s="28" t="str">
        <x:v>Saved description</x:v>
      </x:c>
      <x:c r="I30" s="28" t="str">
        <x:v>No</x:v>
      </x:c>
      <x:c r="J30" s="28" t="str">
        <x:v>The unit includes in-unit laundry, parking, and utilities are included, making it super convenient and hassle-free.</x:v>
      </x:c>
      <x:c r="K30" s="28" t="str">
        <x:v>https://offcampus.dasa.ncsu.edu/housing/property/the-station/ocp2gxtxqc</x:v>
      </x:c>
      <x:c r="L30" s="28" t="str">
        <x:v>No</x:v>
      </x:c>
      <x:c r="M30" s="28" t="str"/>
    </x:row>
    <x:row r="31">
      <x:c r="A31" s="28" t="str">
        <x:v>ocppbmmgnt</x:v>
      </x:c>
      <x:c r="B31" s="28" t="str">
        <x:v>5 bedroom townhome available near NC State</x:v>
      </x:c>
      <x:c r="C31" s="28" t="str">
        <x:v>$650</x:v>
      </x:c>
      <x:c r="D31" s="29" t="n">
        <x:v>650</x:v>
      </x:c>
      <x:c r="E31" s="29" t="n">
        <x:v>650</x:v>
      </x:c>
      <x:c r="F31" s="29" t="n">
        <x:f>AVERAGE(D31:E31)</x:f>
        <x:v>650</x:v>
      </x:c>
      <x:c r="G31" s="30" t="n">
        <x:v>2.375235559</x:v>
      </x:c>
      <x:c r="H31" s="28" t="str">
        <x:v>Structured utility fields</x:v>
      </x:c>
      <x:c r="I31" s="28" t="str">
        <x:v>No</x:v>
      </x:c>
      <x:c r="J31" s="28" t="str">
        <x:v>Recycling: Included
Trash Removal: Included</x:v>
      </x:c>
      <x:c r="K31" s="28" t="str">
        <x:v>https://offcampus.dasa.ncsu.edu/housing/property/5-bedroom-townhome-available-near-nc-state/ocppbmmgnt</x:v>
      </x:c>
      <x:c r="L31" s="28" t="str">
        <x:v>No</x:v>
      </x:c>
      <x:c r="M31" s="28" t="str"/>
    </x:row>
    <x:row r="32">
      <x:c r="A32" s="28" t="str">
        <x:v>ocpx51p4tm</x:v>
      </x:c>
      <x:c r="B32" s="28" t="str">
        <x:v>Condo near NCSU</x:v>
      </x:c>
      <x:c r="C32" s="28" t="str">
        <x:v>$800</x:v>
      </x:c>
      <x:c r="D32" s="29" t="n">
        <x:v>800</x:v>
      </x:c>
      <x:c r="E32" s="29" t="n">
        <x:v>800</x:v>
      </x:c>
      <x:c r="F32" s="29" t="n">
        <x:f>AVERAGE(D32:E32)</x:f>
        <x:v>800</x:v>
      </x:c>
      <x:c r="G32" s="30" t="n">
        <x:v>1.625432361</x:v>
      </x:c>
      <x:c r="H32" s="28" t="str">
        <x:v>Saved description</x:v>
      </x:c>
      <x:c r="I32" s="28" t="str">
        <x:v>No</x:v>
      </x:c>
      <x:c r="J32" s="28" t="str">
        <x:v>All utilities (wifi, electricity, water) are included.</x:v>
      </x:c>
      <x:c r="K32" s="28" t="str">
        <x:v>https://offcampus.dasa.ncsu.edu/housing/property/condo-near-ncsu/ocpx51p4tm</x:v>
      </x:c>
      <x:c r="L32" s="28" t="str">
        <x:v>Yes</x:v>
      </x:c>
      <x:c r="M32" s="28" t="str">
        <x:v>All utilities (wifi, electricity, water) are included.</x:v>
      </x:c>
    </x:row>
    <x:row r="33">
      <x:c r="A33" s="28" t="str">
        <x:v>ocphdtdgk2</x:v>
      </x:c>
      <x:c r="B33" s="28" t="str">
        <x:v>105 Friendly Drive! Furnished Room Rentals with Utilities!</x:v>
      </x:c>
      <x:c r="C33" s="28" t="str">
        <x:v>$775 - $1,050</x:v>
      </x:c>
      <x:c r="D33" s="29" t="n">
        <x:v>775</x:v>
      </x:c>
      <x:c r="E33" s="29" t="n">
        <x:v>1050</x:v>
      </x:c>
      <x:c r="F33" s="29" t="n">
        <x:f>AVERAGE(D33:E33)</x:f>
        <x:v>912.5</x:v>
      </x:c>
      <x:c r="G33" s="30" t="n">
        <x:v>0.734302196</x:v>
      </x:c>
      <x:c r="H33" s="28" t="str">
        <x:v>Structured utility fields + saved description</x:v>
      </x:c>
      <x:c r="I33" s="28" t="str">
        <x:v>No</x:v>
      </x:c>
      <x:c r="J33" s="28" t="str">
        <x:v>High-Speed Internet &amp; Utilities INCLUDED – Stay connected and stress-free.</x:v>
      </x:c>
      <x:c r="K33" s="28" t="str">
        <x:v>https://offcampus.dasa.ncsu.edu/housing/property/105-friendly-drive-furnished-room-rentals-with-utilities/ocphdtdgk2</x:v>
      </x:c>
      <x:c r="L33" s="28" t="str">
        <x:v>Yes</x:v>
      </x:c>
      <x:c r="M33" s="28" t="str">
        <x:v>High-Speed Internet: Included | High-Speed Internet &amp; Utilities INCLUDED – Stay connected and stress-free.</x:v>
      </x:c>
    </x:row>
    <x:row r="34">
      <x:c r="A34" s="28" t="str">
        <x:v>ocp4lh373j</x:v>
      </x:c>
      <x:c r="B34" s="28" t="str">
        <x:v>Hub Raleigh – 4x2 Lease Takeover, Available Now</x:v>
      </x:c>
      <x:c r="C34" s="28" t="str">
        <x:v>$1,199</x:v>
      </x:c>
      <x:c r="D34" s="29" t="n">
        <x:v>1199</x:v>
      </x:c>
      <x:c r="E34" s="29" t="n">
        <x:v>1199</x:v>
      </x:c>
      <x:c r="F34" s="29" t="n">
        <x:f>AVERAGE(D34:E34)</x:f>
        <x:v>1199</x:v>
      </x:c>
      <x:c r="G34" s="30" t="n">
        <x:v>1.249575868</x:v>
      </x:c>
      <x:c r="H34" s="28" t="str">
        <x:v>Saved description</x:v>
      </x:c>
      <x:c r="I34" s="28" t="str">
        <x:v>No</x:v>
      </x:c>
      <x:c r="J34" s="28" t="str">
        <x:v>This is a 4 bedroom / 2 bathroom furnished unit with utilities included in rent ($1,199/month); parking is available separately if needed.</x:v>
      </x:c>
      <x:c r="K34" s="28" t="str">
        <x:v>https://offcampus.dasa.ncsu.edu/housing/property/hub-raleigh-4x2-lease-takeover-available-now/ocp4lh373j</x:v>
      </x:c>
      <x:c r="L34" s="28" t="str">
        <x:v>No</x:v>
      </x:c>
      <x:c r="M34" s="28" t="str"/>
    </x:row>
    <x:row r="35">
      <x:c r="A35" s="28" t="str">
        <x:v>se736e5</x:v>
      </x:c>
      <x:c r="B35" s="28" t="str">
        <x:v>College Inn</x:v>
      </x:c>
      <x:c r="C35" s="28" t="str">
        <x:v>$859 - $1,275</x:v>
      </x:c>
      <x:c r="D35" s="29" t="n">
        <x:v>859</x:v>
      </x:c>
      <x:c r="E35" s="29" t="n">
        <x:v>1275</x:v>
      </x:c>
      <x:c r="F35" s="29" t="n">
        <x:f>AVERAGE(D35:E35)</x:f>
        <x:v>1067</x:v>
      </x:c>
      <x:c r="G35" s="30" t="n">
        <x:v>0.246460777</x:v>
      </x:c>
      <x:c r="H35" s="28" t="str">
        <x:v>Structured utility fields</x:v>
      </x:c>
      <x:c r="I35" s="28" t="str">
        <x:v>No</x:v>
      </x:c>
      <x:c r="J35" s="28" t="str">
        <x:v>Electricity: Included
Gas: Included
Heat: Included
High-Speed Internet: Included
Water/Sewer: Included</x:v>
      </x:c>
      <x:c r="K35" s="28" t="str">
        <x:v>https://offcampus.dasa.ncsu.edu/housing/property/college-inn/se736e5</x:v>
      </x:c>
      <x:c r="L35" s="28" t="str">
        <x:v>Yes</x:v>
      </x:c>
      <x:c r="M35" s="28" t="str">
        <x:v>High-Speed Internet: Included</x:v>
      </x:c>
    </x:row>
    <x:row r="36">
      <x:c r="A36" s="28" t="str">
        <x:v>ocp0gblz91</x:v>
      </x:c>
      <x:c r="B36" s="28" t="str">
        <x:v>Great value in beautiful SW Raleigh</x:v>
      </x:c>
      <x:c r="C36" s="28" t="str">
        <x:v>$850</x:v>
      </x:c>
      <x:c r="D36" s="29" t="n">
        <x:v>850</x:v>
      </x:c>
      <x:c r="E36" s="29" t="n">
        <x:v>850</x:v>
      </x:c>
      <x:c r="F36" s="29" t="n">
        <x:f>AVERAGE(D36:E36)</x:f>
        <x:v>850</x:v>
      </x:c>
      <x:c r="G36" s="30" t="n">
        <x:v>3.494769248</x:v>
      </x:c>
      <x:c r="H36" s="28" t="str">
        <x:v>Saved description</x:v>
      </x:c>
      <x:c r="I36" s="28" t="str">
        <x:v>Yes</x:v>
      </x:c>
      <x:c r="J36" s="28" t="str">
        <x:v>ALL utilities included (i.e., high speed internet, electricity/gas, water, etc.).</x:v>
      </x:c>
      <x:c r="K36" s="28" t="str">
        <x:v>https://offcampus.dasa.ncsu.edu/housing/property/great-value-in-beautiful-sw-raleigh/ocp0gblz91</x:v>
      </x:c>
      <x:c r="L36" s="28" t="str">
        <x:v>Yes</x:v>
      </x:c>
      <x:c r="M36" s="28" t="str">
        <x:v>ALL utilities included (i.e., high speed internet, electricity/gas, water, etc.).</x:v>
      </x:c>
    </x:row>
    <x:row r="37">
      <x:c r="A37" s="28" t="str">
        <x:v>ocpteqgjg8</x:v>
      </x:c>
      <x:c r="B37" s="28" t="str">
        <x:v>Huge modern studio suite- private entrance and beth- near NCSU</x:v>
      </x:c>
      <x:c r="C37" s="28" t="str">
        <x:v>$1,150</x:v>
      </x:c>
      <x:c r="D37" s="29" t="n">
        <x:v>1150</x:v>
      </x:c>
      <x:c r="E37" s="29" t="n">
        <x:v>1150</x:v>
      </x:c>
      <x:c r="F37" s="29" t="n">
        <x:f>AVERAGE(D37:E37)</x:f>
        <x:v>1150</x:v>
      </x:c>
      <x:c r="G37" s="30" t="n">
        <x:v>2.969896437</x:v>
      </x:c>
      <x:c r="H37" s="28" t="str">
        <x:v>Saved description</x:v>
      </x:c>
      <x:c r="I37" s="28" t="str">
        <x:v>No</x:v>
      </x:c>
      <x:c r="J37" s="28" t="str">
        <x:v>Stress-Free Living: Rent includes electricity, water, gas, trash, and ultra-high-speed Wi-Fi (capped at reasonable monthly usage).</x:v>
      </x:c>
      <x:c r="K37" s="28" t="str">
        <x:v>https://offcampus.dasa.ncsu.edu/housing/property/huge-modern-studio-suite-private-entrance-and-beth-near-ncsu/ocpteqgjg8</x:v>
      </x:c>
      <x:c r="L37" s="28" t="str">
        <x:v>Yes</x:v>
      </x:c>
      <x:c r="M37" s="28" t="str">
        <x:v>Stress-Free Living: Rent includes electricity, water, gas, trash, and ultra-high-speed Wi-Fi (capped at reasonable monthly usage).</x:v>
      </x:c>
    </x:row>
    <x:row r="38">
      <x:c r="A38" s="28" t="str">
        <x:v>ocp4t7wmxk</x:v>
      </x:c>
      <x:c r="B38" s="28" t="str">
        <x:v>University Oaks</x:v>
      </x:c>
      <x:c r="C38" s="28" t="str">
        <x:v>$725</x:v>
      </x:c>
      <x:c r="D38" s="29" t="n">
        <x:v>725</x:v>
      </x:c>
      <x:c r="E38" s="29" t="n">
        <x:v>725</x:v>
      </x:c>
      <x:c r="F38" s="29" t="n">
        <x:f>AVERAGE(D38:E38)</x:f>
        <x:v>725</x:v>
      </x:c>
      <x:c r="G38" s="30" t="n">
        <x:v>0.456914407</x:v>
      </x:c>
      <x:c r="H38" s="28" t="str">
        <x:v>Saved description</x:v>
      </x:c>
      <x:c r="I38" s="28" t="str">
        <x:v>No</x:v>
      </x:c>
      <x:c r="J38" s="28" t="str">
        <x:v>Utilities included: Water, WiFi, and electricity!</x:v>
      </x:c>
      <x:c r="K38" s="28" t="str">
        <x:v>https://offcampus.dasa.ncsu.edu/housing/property/university-oaks/ocp4t7wmxk</x:v>
      </x:c>
      <x:c r="L38" s="28" t="str">
        <x:v>Yes</x:v>
      </x:c>
      <x:c r="M38" s="28" t="str">
        <x:v>Utilities included: Water, WiFi, and electricity!</x:v>
      </x:c>
    </x:row>
    <x:row r="39">
      <x:c r="A39" s="28" t="str">
        <x:v>ocpq99qjpx</x:v>
      </x:c>
      <x:c r="B39" s="28" t="str">
        <x:v>Apartment close to NCSU</x:v>
      </x:c>
      <x:c r="C39" s="28" t="str">
        <x:v>$645</x:v>
      </x:c>
      <x:c r="D39" s="29" t="n">
        <x:v>645</x:v>
      </x:c>
      <x:c r="E39" s="29" t="n">
        <x:v>645</x:v>
      </x:c>
      <x:c r="F39" s="29" t="n">
        <x:f>AVERAGE(D39:E39)</x:f>
        <x:v>645</x:v>
      </x:c>
      <x:c r="G39" s="30" t="n">
        <x:v>1.653317243</x:v>
      </x:c>
      <x:c r="H39" s="28" t="str">
        <x:v>Structured utility fields + saved description</x:v>
      </x:c>
      <x:c r="I39" s="28" t="str">
        <x:v>No</x:v>
      </x:c>
      <x:c r="J39" s="28" t="str">
        <x:v>All appliances and utilities are included in the rent for a hassle-free living experience.</x:v>
      </x:c>
      <x:c r="K39" s="28" t="str">
        <x:v>https://offcampus.dasa.ncsu.edu/housing/property/apartment-close-to-ncsu/ocpq99qjpx</x:v>
      </x:c>
      <x:c r="L39" s="28" t="str">
        <x:v>No</x:v>
      </x:c>
      <x:c r="M39" s="28" t="str"/>
    </x:row>
    <x:row r="40">
      <x:c r="A40" s="28" t="str">
        <x:v>ocps6ymwl7</x:v>
      </x:c>
      <x:c r="B40" s="28" t="str">
        <x:v>University Woods</x:v>
      </x:c>
      <x:c r="C40" s="28" t="str">
        <x:v>$600</x:v>
      </x:c>
      <x:c r="D40" s="29" t="n">
        <x:v>600</x:v>
      </x:c>
      <x:c r="E40" s="29" t="n">
        <x:v>600</x:v>
      </x:c>
      <x:c r="F40" s="29" t="n">
        <x:f>AVERAGE(D40:E40)</x:f>
        <x:v>600</x:v>
      </x:c>
      <x:c r="G40" s="30" t="n">
        <x:v>2.123645671</x:v>
      </x:c>
      <x:c r="H40" s="28" t="str">
        <x:v>Structured utility fields + saved description</x:v>
      </x:c>
      <x:c r="I40" s="28" t="str">
        <x:v>No</x:v>
      </x:c>
      <x:c r="J40" s="28" t="str">
        <x:v>Water and electric are included with a cap.</x:v>
      </x:c>
      <x:c r="K40" s="28" t="str">
        <x:v>https://offcampus.dasa.ncsu.edu/housing/property/university-woods/ocps6ymwl7</x:v>
      </x:c>
      <x:c r="L40" s="28" t="str">
        <x:v>No</x:v>
      </x:c>
      <x:c r="M40" s="28" t="str"/>
    </x:row>
    <x:row r="41">
      <x:c r="A41" s="28" t="str">
        <x:v>ocpvgtpebg</x:v>
      </x:c>
      <x:c r="B41" s="28" t="str">
        <x:v>Lake Park Condos- Room Rental with Utilities</x:v>
      </x:c>
      <x:c r="C41" s="28" t="str">
        <x:v>$500 - $600</x:v>
      </x:c>
      <x:c r="D41" s="29" t="n">
        <x:v>500</x:v>
      </x:c>
      <x:c r="E41" s="29" t="n">
        <x:v>600</x:v>
      </x:c>
      <x:c r="F41" s="29" t="n">
        <x:f>AVERAGE(D41:E41)</x:f>
        <x:v>550</x:v>
      </x:c>
      <x:c r="G41" s="30" t="n">
        <x:v>1.637356936</x:v>
      </x:c>
      <x:c r="H41" s="28" t="str">
        <x:v>Structured utility fields + saved description</x:v>
      </x:c>
      <x:c r="I41" s="28" t="str">
        <x:v>No</x:v>
      </x:c>
      <x:c r="J41" s="28" t="str">
        <x:v>Water and electric are included with a cap.</x:v>
      </x:c>
      <x:c r="K41" s="28" t="str">
        <x:v>https://offcampus.dasa.ncsu.edu/housing/property/lake-park-condos-room-rental-with-utilities/ocpvgtpebg</x:v>
      </x:c>
      <x:c r="L41" s="28" t="str">
        <x:v>No</x:v>
      </x:c>
      <x:c r="M41" s="28" t="str"/>
    </x:row>
    <x:row r="42">
      <x:c r="A42" s="28" t="str">
        <x:v>5hme2mn</x:v>
      </x:c>
      <x:c r="B42" s="28" t="str">
        <x:v>The Station Raleigh</x:v>
      </x:c>
      <x:c r="C42" s="28" t="str">
        <x:v>$749 - $1,930</x:v>
      </x:c>
      <x:c r="D42" s="29" t="n">
        <x:v>749</x:v>
      </x:c>
      <x:c r="E42" s="29" t="n">
        <x:v>1930</x:v>
      </x:c>
      <x:c r="F42" s="29" t="n">
        <x:f>AVERAGE(D42:E42)</x:f>
        <x:v>1339.5</x:v>
      </x:c>
      <x:c r="G42" s="30" t="n">
        <x:v>2.173712249</x:v>
      </x:c>
      <x:c r="H42" s="28" t="str">
        <x:v>Structured utility fields</x:v>
      </x:c>
      <x:c r="I42" s="28" t="str">
        <x:v>No</x:v>
      </x:c>
      <x:c r="J42" s="28" t="str">
        <x:v>Air Conditioning: Included
Cable: Included
Gas: Included
Heat: Included
High-Speed Internet: Included
Trash Removal: Included
Water/Sewer: Included</x:v>
      </x:c>
      <x:c r="K42" s="28" t="str">
        <x:v>https://offcampus.dasa.ncsu.edu/housing/property/the-station-raleigh/5hme2mn</x:v>
      </x:c>
      <x:c r="L42" s="28" t="str">
        <x:v>Yes</x:v>
      </x:c>
      <x:c r="M42" s="28" t="str">
        <x:v>High-Speed Internet: Included</x:v>
      </x:c>
    </x:row>
    <x:row r="43">
      <x:c r="A43" s="28" t="str">
        <x:v>lpl9fce</x:v>
      </x:c>
      <x:c r="B43" s="28" t="str">
        <x:v>2850 Sanderford Rd (Raleigh, NC)</x:v>
      </x:c>
      <x:c r="C43" s="28" t="str">
        <x:v>$650</x:v>
      </x:c>
      <x:c r="D43" s="29" t="n">
        <x:v>650</x:v>
      </x:c>
      <x:c r="E43" s="29" t="n">
        <x:v>650</x:v>
      </x:c>
      <x:c r="F43" s="29" t="n">
        <x:f>AVERAGE(D43:E43)</x:f>
        <x:v>650</x:v>
      </x:c>
      <x:c r="G43" s="30" t="n">
        <x:v>4.772916888</x:v>
      </x:c>
      <x:c r="H43" s="28" t="str">
        <x:v>Structured utility fields + saved description</x:v>
      </x:c>
      <x:c r="I43" s="28" t="str">
        <x:v>No</x:v>
      </x:c>
      <x:c r="J43" s="28" t="str">
        <x:v>Water, sewage, trash, internet and power all included</x:v>
      </x:c>
      <x:c r="K43" s="28" t="str">
        <x:v>https://offcampus.dasa.ncsu.edu/housing/property/2850-sanderford-rd-raleigh-nc/lpl9fce</x:v>
      </x:c>
      <x:c r="L43" s="28" t="str">
        <x:v>Yes</x:v>
      </x:c>
      <x:c r="M43" s="28" t="str">
        <x:v>Water, sewage, trash, internet and power all included</x:v>
      </x:c>
    </x:row>
    <x:row r="44">
      <x:c r="A44" s="28" t="str">
        <x:v>ocp67ldb5s</x:v>
      </x:c>
      <x:c r="B44" s="28" t="str">
        <x:v>The Wilde</x:v>
      </x:c>
      <x:c r="C44" s="28" t="str">
        <x:v>$860</x:v>
      </x:c>
      <x:c r="D44" s="29" t="n">
        <x:v>860</x:v>
      </x:c>
      <x:c r="E44" s="29" t="n">
        <x:v>860</x:v>
      </x:c>
      <x:c r="F44" s="29" t="n">
        <x:f>AVERAGE(D44:E44)</x:f>
        <x:v>860</x:v>
      </x:c>
      <x:c r="G44" s="30" t="n">
        <x:v>2.038270328</x:v>
      </x:c>
      <x:c r="H44" s="28" t="str">
        <x:v>Saved description</x:v>
      </x:c>
      <x:c r="I44" s="28" t="str">
        <x:v>Yes</x:v>
      </x:c>
      <x:c r="J44" s="28" t="str">
        <x:v>The $860 rent is all inclusive of fees and utilities outside of 1 time administrative fees.</x:v>
      </x:c>
      <x:c r="K44" s="28" t="str">
        <x:v>https://offcampus.dasa.ncsu.edu/housing/property/the-wilde/ocp67ldb5s</x:v>
      </x:c>
      <x:c r="L44" s="28" t="str">
        <x:v>No</x:v>
      </x:c>
      <x:c r="M44" s="28" t="str"/>
    </x:row>
    <x:row r="45">
      <x:c r="A45" s="28" t="str">
        <x:v>ocp0psn632</x:v>
      </x:c>
      <x:c r="B45" s="28" t="str">
        <x:v>An apartments with 3 bed and 3 bath for NC State Students www.ncstudentsliving.com</x:v>
      </x:c>
      <x:c r="C45" s="28" t="str">
        <x:v>$650</x:v>
      </x:c>
      <x:c r="D45" s="29" t="n">
        <x:v>650</x:v>
      </x:c>
      <x:c r="E45" s="29" t="n">
        <x:v>650</x:v>
      </x:c>
      <x:c r="F45" s="29" t="n">
        <x:f>AVERAGE(D45:E45)</x:f>
        <x:v>650</x:v>
      </x:c>
      <x:c r="G45" s="30" t="n">
        <x:v>2.262000465</x:v>
      </x:c>
      <x:c r="H45" s="28" t="str">
        <x:v>Structured utility fields</x:v>
      </x:c>
      <x:c r="I45" s="28" t="str">
        <x:v>No</x:v>
      </x:c>
      <x:c r="J45" s="28" t="str">
        <x:v>Recycling: Included
Trash Removal: Included
Water/Sewer: Included</x:v>
      </x:c>
      <x:c r="K45" s="28" t="str">
        <x:v>https://offcampus.dasa.ncsu.edu/housing/property/an-apartments-with-3-bed-and-3-bath-for-nc-state-students-www-ncstudentsliving-com/ocp0psn632</x:v>
      </x:c>
      <x:c r="L45" s="28" t="str">
        <x:v>No</x:v>
      </x:c>
      <x:c r="M45" s="28" t="str"/>
    </x:row>
    <x:row r="46">
      <x:c r="A46" s="28" t="str">
        <x:v>ocp5lwrmvq</x:v>
      </x:c>
      <x:c r="B46" s="28" t="str">
        <x:v>Convenient Kaplan Dr property near NCSU buses, park, grocery, with parking space &amp; private bathroom</x:v>
      </x:c>
      <x:c r="C46" s="28" t="str">
        <x:v>$675</x:v>
      </x:c>
      <x:c r="D46" s="29" t="n">
        <x:v>675</x:v>
      </x:c>
      <x:c r="E46" s="29" t="n">
        <x:v>675</x:v>
      </x:c>
      <x:c r="F46" s="29" t="n">
        <x:f>AVERAGE(D46:E46)</x:f>
        <x:v>675</x:v>
      </x:c>
      <x:c r="G46" s="30" t="n">
        <x:v>0.716855117</x:v>
      </x:c>
      <x:c r="H46" s="28" t="str">
        <x:v>Saved description</x:v>
      </x:c>
      <x:c r="I46" s="28" t="str">
        <x:v>No</x:v>
      </x:c>
      <x:c r="J46" s="28" t="str">
        <x:v>Base rent is $675, so listed price is with utilities and internet.</x:v>
      </x:c>
      <x:c r="K46" s="28" t="str">
        <x:v>https://offcampus.dasa.ncsu.edu/housing/property/convenient-kaplan-dr-property-near-ncsu-buses-park-grocery-with-parking-space-and-private-bathroom/ocp5lwrmvq</x:v>
      </x:c>
      <x:c r="L46" s="28" t="str">
        <x:v>Yes</x:v>
      </x:c>
      <x:c r="M46" s="28" t="str">
        <x:v>Base rent is $675, so listed price is with utilities and internet.</x:v>
      </x:c>
    </x:row>
    <x:row r="48">
      <x:c r="A48" s="35" t="str">
        <x:v>COUNT</x:v>
      </x:c>
      <x:c r="B48" s="35" t="str">
        <x:v>Listing count</x:v>
      </x:c>
      <x:c r="C48" s="35" t="str"/>
      <x:c r="D48" s="35" t="n">
        <x:f>COUNT(D6:D46)</x:f>
        <x:v>41</x:v>
      </x:c>
      <x:c r="E48" s="35" t="n">
        <x:f>COUNT(E6:E46)</x:f>
        <x:v>41</x:v>
      </x:c>
      <x:c r="F48" s="35" t="n">
        <x:f>COUNT(F6:F46)</x:f>
        <x:v>41</x:v>
      </x:c>
      <x:c r="G48" s="35"/>
      <x:c r="H48" s="35"/>
      <x:c r="I48" s="35"/>
      <x:c r="J48" s="35"/>
      <x:c r="K48" s="35"/>
      <x:c r="L48" s="35"/>
      <x:c r="M48" s="35"/>
    </x:row>
    <x:row r="49">
      <x:c r="A49" s="35" t="str">
        <x:v>SUM</x:v>
      </x:c>
      <x:c r="B49" s="35" t="str">
        <x:v>Sum of rent values</x:v>
      </x:c>
      <x:c r="C49" s="35" t="str"/>
      <x:c r="D49" s="38" t="n">
        <x:f>SUM(D6:D46)</x:f>
        <x:v>33402</x:v>
      </x:c>
      <x:c r="E49" s="38" t="n">
        <x:f>SUM(E6:E46)</x:f>
        <x:v>38603</x:v>
      </x:c>
      <x:c r="F49" s="38" t="n">
        <x:f>SUM(F6:F46)</x:f>
        <x:v>36002.5</x:v>
      </x:c>
      <x:c r="G49" s="35"/>
      <x:c r="H49" s="35"/>
      <x:c r="I49" s="35"/>
      <x:c r="J49" s="35"/>
      <x:c r="K49" s="35"/>
      <x:c r="L49" s="35"/>
      <x:c r="M49" s="35"/>
    </x:row>
    <x:row r="50">
      <x:c r="A50" s="35" t="str">
        <x:v>MEAN</x:v>
      </x:c>
      <x:c r="B50" s="35" t="str">
        <x:v>Mean advertised rent</x:v>
      </x:c>
      <x:c r="C50" s="35" t="str"/>
      <x:c r="D50" s="38" t="n">
        <x:f>AVERAGE(D6:D46)</x:f>
        <x:v>814.6829268292682</x:v>
      </x:c>
      <x:c r="E50" s="38" t="n">
        <x:f>AVERAGE(E6:E46)</x:f>
        <x:v>941.5365853658536</x:v>
      </x:c>
      <x:c r="F50" s="38" t="n">
        <x:f>AVERAGE(F6:F46)</x:f>
        <x:v>878.109756097561</x:v>
      </x:c>
      <x:c r="G50" s="35"/>
      <x:c r="H50" s="35"/>
      <x:c r="I50" s="35"/>
      <x:c r="J50" s="35"/>
      <x:c r="K50" s="35"/>
      <x:c r="L50" s="35"/>
      <x:c r="M50" s="35"/>
    </x:row>
    <x:row r="51">
      <x:c r="A51" s="35" t="str">
        <x:v>SUM ÷ COUNT CHECK</x:v>
      </x:c>
      <x:c r="B51" s="35" t="str">
        <x:v>Explicit check</x:v>
      </x:c>
      <x:c r="C51" s="35" t="str"/>
      <x:c r="D51" s="38" t="n">
        <x:f>D49/D48</x:f>
        <x:v>814.6829268292682</x:v>
      </x:c>
      <x:c r="E51" s="38" t="n">
        <x:f>E49/E48</x:f>
        <x:v>941.5365853658536</x:v>
      </x:c>
      <x:c r="F51" s="38" t="n">
        <x:f>F49/F48</x:f>
        <x:v>878.109756097561</x:v>
      </x:c>
      <x:c r="G51" s="35"/>
      <x:c r="H51" s="35"/>
      <x:c r="I51" s="35"/>
      <x:c r="J51" s="35"/>
      <x:c r="K51" s="35"/>
      <x:c r="L51" s="35"/>
      <x:c r="M51" s="35"/>
    </x:row>
    <x:row r="52">
      <x:c r="A52" s="35" t="str">
        <x:v>MEDIAN</x:v>
      </x:c>
      <x:c r="B52" s="35" t="str">
        <x:v>Median advertised rent</x:v>
      </x:c>
      <x:c r="C52" s="35" t="str"/>
      <x:c r="D52" s="38" t="n">
        <x:f>MEDIAN(D6:D46)</x:f>
        <x:v>775</x:v>
      </x:c>
      <x:c r="E52" s="38" t="n">
        <x:f>MEDIAN(E6:E46)</x:f>
        <x:v>860</x:v>
      </x:c>
      <x:c r="F52" s="38" t="n">
        <x:f>MEDIAN(F6:F46)</x:f>
        <x:v>850</x:v>
      </x:c>
      <x:c r="G52" s="35"/>
      <x:c r="H52" s="35"/>
      <x:c r="I52" s="35"/>
      <x:c r="J52" s="35"/>
      <x:c r="K52" s="35"/>
      <x:c r="L52" s="35"/>
      <x:c r="M52" s="35"/>
    </x:row>
  </x:sheetData>
  <x:mergeCells>
    <x:mergeCell ref="A1:M1"/>
    <x:mergeCell ref="A2:M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15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29" hidden="0" customWidth="1"/>
    <x:col min="9" max="9" width="19" hidden="0" customWidth="1"/>
    <x:col min="10" max="10" width="52" hidden="0" customWidth="1"/>
    <x:col min="11" max="11" width="44" hidden="0" customWidth="1"/>
    <x:col min="12" max="12" width="18" hidden="0" customWidth="1"/>
    <x:col min="13" max="13" width="44" hidden="0" customWidth="1"/>
  </x:cols>
  <x:sheetData>
    <x:row r="1">
      <x:c r="A1" s="4" t="str">
        <x:v>Utility Audit — Explicitly States All Utilities Included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>
      <x:c r="A2" s="11" t="str">
        <x:v>8 of 74 Main Campus private-bedroom analytic listings (10.8%) explicitly state in saved wording that all utilities are included or the rent is inclusive of all utilities. The 6 listings that also explicitly include internet or Wi-Fi are highlighted in green; their median advertised midpoint is $800 per month.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</x:row>
    <x:row r="3">
      <x:c r="A3" s="11"/>
      <x:c r="B3" s="11"/>
      <x:c r="C3" s="11"/>
      <x:c r="D3" s="11"/>
      <x:c r="E3" s="11"/>
      <x:c r="F3" s="11"/>
      <x:c r="G3" s="11"/>
      <x:c r="H3" s="11"/>
      <x:c r="I3" s="11"/>
      <x:c r="J3" s="11"/>
      <x:c r="K3" s="11"/>
      <x:c r="L3" s="11"/>
      <x:c r="M3" s="11"/>
    </x:row>
    <x:row r="5">
      <x:c r="A5" s="19" t="str">
        <x:v>Listing ID</x:v>
      </x:c>
      <x:c r="B5" s="19" t="str">
        <x:v>Listing</x:v>
      </x:c>
      <x:c r="C5" s="19" t="str">
        <x:v>Advertised price</x:v>
      </x:c>
      <x:c r="D5" s="19" t="str">
        <x:v>Rent low</x:v>
      </x:c>
      <x:c r="E5" s="19" t="str">
        <x:v>Rent high</x:v>
      </x:c>
      <x:c r="F5" s="19" t="str">
        <x:v>Midpoint</x:v>
      </x:c>
      <x:c r="G5" s="19" t="str">
        <x:v>Distance (mi)</x:v>
      </x:c>
      <x:c r="H5" s="19" t="str">
        <x:v>Basis</x:v>
      </x:c>
      <x:c r="I5" s="19" t="str">
        <x:v>All utilities explicit?</x:v>
      </x:c>
      <x:c r="J5" s="19" t="str">
        <x:v>Evidence</x:v>
      </x:c>
      <x:c r="K5" s="19" t="str">
        <x:v>Original listing URL</x:v>
      </x:c>
      <x:c r="L5" s="19" t="str">
        <x:v>Internet/Wi-Fi explicit?</x:v>
      </x:c>
      <x:c r="M5" s="19" t="str">
        <x:v>Internet/Wi-Fi evidence</x:v>
      </x:c>
    </x:row>
    <x:row r="6">
      <x:c r="A6" s="40" t="str">
        <x:v>ocpw46rjcl</x:v>
      </x:c>
      <x:c r="B6" s="40" t="str">
        <x:v>Brand New Luxury Furnished Townhome | 4 Bed /  3.5 Bath | 5 Min to NC State &amp; 3 Mins to Fenton +shop</x:v>
      </x:c>
      <x:c r="C6" s="40" t="str">
        <x:v>$900 - $1,050</x:v>
      </x:c>
      <x:c r="D6" s="41" t="n">
        <x:v>900</x:v>
      </x:c>
      <x:c r="E6" s="41" t="n">
        <x:v>1050</x:v>
      </x:c>
      <x:c r="F6" s="41" t="n">
        <x:f>AVERAGE(D6:E6)</x:f>
        <x:v>975</x:v>
      </x:c>
      <x:c r="G6" s="42" t="n">
        <x:v>3.33499703</x:v>
      </x:c>
      <x:c r="H6" s="40" t="str">
        <x:v>Saved description</x:v>
      </x:c>
      <x:c r="I6" s="40" t="str">
        <x:v>Yes</x:v>
      </x:c>
      <x:c r="J6" s="40" t="str">
        <x:v>All utilities included</x:v>
      </x:c>
      <x:c r="K6" s="40" t="str">
        <x:v>https://offcampus.dasa.ncsu.edu/housing/property/brand-new-luxury-furnished-townhome-4-bed-3-5-bath-5-min-to-nc-state-and-3-mins-to-fenton-shop/ocpw46rjcl</x:v>
      </x:c>
      <x:c r="L6" s="40" t="str">
        <x:v>Yes</x:v>
      </x:c>
      <x:c r="M6" s="40" t="str">
        <x:v>High-speed internet included</x:v>
      </x:c>
    </x:row>
    <x:row r="7">
      <x:c r="A7" s="40" t="str">
        <x:v>ocpchygggd</x:v>
      </x:c>
      <x:c r="B7" s="40" t="str">
        <x:v>Hurry 2 Rooms Left! – 4BR/4BA Condo Near NC State  – All Utilities &amp; Internet Included!</x:v>
      </x:c>
      <x:c r="C7" s="40" t="str">
        <x:v>$695</x:v>
      </x:c>
      <x:c r="D7" s="41" t="n">
        <x:v>695</x:v>
      </x:c>
      <x:c r="E7" s="41" t="n">
        <x:v>695</x:v>
      </x:c>
      <x:c r="F7" s="41" t="n">
        <x:f>AVERAGE(D7:E7)</x:f>
        <x:v>695</x:v>
      </x:c>
      <x:c r="G7" s="42" t="n">
        <x:v>2.192366298</x:v>
      </x:c>
      <x:c r="H7" s="40" t="str">
        <x:v>Structured utility fields + saved description</x:v>
      </x:c>
      <x:c r="I7" s="40" t="str">
        <x:v>Yes</x:v>
      </x:c>
      <x:c r="J7" s="40" t="str">
        <x:v>Rent is $695 per month per room and includes all utilities (electricity, water, and internet), with no hidden fees.</x:v>
      </x:c>
      <x:c r="K7" s="40" t="str">
        <x:v>https://offcampus.dasa.ncsu.edu/housing/property/hurry-2-rooms-left-4br-4ba-condo-near-nc-state-all-utilities-and-internet-included/ocpchygggd</x:v>
      </x:c>
      <x:c r="L7" s="40" t="str">
        <x:v>Yes</x:v>
      </x:c>
      <x:c r="M7" s="40" t="str">
        <x:v>High-Speed Internet: Included | Rent is $695 per month per room and includes all utilities (electricity, water, and internet), with no hidden fees.</x:v>
      </x:c>
    </x:row>
    <x:row r="8">
      <x:c r="A8" s="40" t="str">
        <x:v>ocpesl9n3p</x:v>
      </x:c>
      <x:c r="B8" s="40" t="str">
        <x:v>maisonNC --- Fully Furnished minutes away from Wolfline and Shopping</x:v>
      </x:c>
      <x:c r="C8" s="40" t="str">
        <x:v>$750</x:v>
      </x:c>
      <x:c r="D8" s="41" t="n">
        <x:v>750</x:v>
      </x:c>
      <x:c r="E8" s="41" t="n">
        <x:v>750</x:v>
      </x:c>
      <x:c r="F8" s="41" t="n">
        <x:f>AVERAGE(D8:E8)</x:f>
        <x:v>750</x:v>
      </x:c>
      <x:c r="G8" s="42" t="n">
        <x:v>1.619349362</x:v>
      </x:c>
      <x:c r="H8" s="40" t="str">
        <x:v>Saved description</x:v>
      </x:c>
      <x:c r="I8" s="40" t="str">
        <x:v>Yes</x:v>
      </x:c>
      <x:c r="J8" s="40" t="str">
        <x:v>All utilities, wifi (google fiber) and parking included in the rent.</x:v>
      </x:c>
      <x:c r="K8" s="40" t="str">
        <x:v>https://offcampus.dasa.ncsu.edu/housing/property/maisonnc-fully-furnished-minutes-away-from-wolfline-and-shopping/ocpesl9n3p</x:v>
      </x:c>
      <x:c r="L8" s="40" t="str">
        <x:v>Yes</x:v>
      </x:c>
      <x:c r="M8" s="40" t="str">
        <x:v>All utilities, wifi (google fiber) and parking included in the rent.</x:v>
      </x:c>
    </x:row>
    <x:row r="9">
      <x:c r="A9" s="40" t="str">
        <x:v>ocpcm3jede</x:v>
      </x:c>
      <x:c r="B9" s="40" t="str">
        <x:v>maisonNC --- Fully Furnished minutes away from Wolfline and Shopping</x:v>
      </x:c>
      <x:c r="C9" s="40" t="str">
        <x:v>$750</x:v>
      </x:c>
      <x:c r="D9" s="41" t="n">
        <x:v>750</x:v>
      </x:c>
      <x:c r="E9" s="41" t="n">
        <x:v>750</x:v>
      </x:c>
      <x:c r="F9" s="41" t="n">
        <x:f>AVERAGE(D9:E9)</x:f>
        <x:v>750</x:v>
      </x:c>
      <x:c r="G9" s="42" t="n">
        <x:v>1.600371218</x:v>
      </x:c>
      <x:c r="H9" s="40" t="str">
        <x:v>Structured utility fields + saved description</x:v>
      </x:c>
      <x:c r="I9" s="40" t="str">
        <x:v>Yes</x:v>
      </x:c>
      <x:c r="J9" s="40" t="str">
        <x:v>Rent includes all utilities, wifi and parking.</x:v>
      </x:c>
      <x:c r="K9" s="40" t="str">
        <x:v>https://offcampus.dasa.ncsu.edu/housing/property/maisonnc-fully-furnished-minutes-away-from-wolfline-and-shopping/ocpcm3jede</x:v>
      </x:c>
      <x:c r="L9" s="40" t="str">
        <x:v>Yes</x:v>
      </x:c>
      <x:c r="M9" s="40" t="str">
        <x:v>High-Speed Internet: Included | Rent includes all utilities, wifi and parking.</x:v>
      </x:c>
    </x:row>
    <x:row r="10">
      <x:c r="A10" s="40" t="str">
        <x:v>ocpxdxd79p</x:v>
      </x:c>
      <x:c r="B10" s="40" t="str">
        <x:v>4BR/4BA Condo| On Wolfline | Preleasing 27-28 Special $850 Util/Parking Incld | Mile to Campus</x:v>
      </x:c>
      <x:c r="C10" s="40" t="str">
        <x:v>$875</x:v>
      </x:c>
      <x:c r="D10" s="41" t="n">
        <x:v>875</x:v>
      </x:c>
      <x:c r="E10" s="41" t="n">
        <x:v>875</x:v>
      </x:c>
      <x:c r="F10" s="41" t="n">
        <x:f>AVERAGE(D10:E10)</x:f>
        <x:v>875</x:v>
      </x:c>
      <x:c r="G10" s="42" t="n">
        <x:v>0.655411437</x:v>
      </x:c>
      <x:c r="H10" s="40" t="str">
        <x:v>Structured utility fields + saved description</x:v>
      </x:c>
      <x:c r="I10" s="40" t="str">
        <x:v>Yes</x:v>
      </x:c>
      <x:c r="J10" s="40" t="str">
        <x:v>* All utilities included: Electric, water, trash, and unlimited Google Fiber High-Speed Internet</x:v>
      </x:c>
      <x:c r="K10" s="40" t="str">
        <x:v>https://offcampus.dasa.ncsu.edu/housing/property/4br-4ba-condo-on-wolfline-preleasing-27-28-special-850-util-parking-incld-mile-to-campus/ocpxdxd79p</x:v>
      </x:c>
      <x:c r="L10" s="40" t="str">
        <x:v>Yes</x:v>
      </x:c>
      <x:c r="M10" s="40" t="str">
        <x:v>High-Speed Internet: Included | * All utilities included: Electric, water, trash, and unlimited Google Fiber High-Speed Internet</x:v>
      </x:c>
    </x:row>
    <x:row r="11">
      <x:c r="A11" s="28" t="str">
        <x:v>ocpepvxvln</x:v>
      </x:c>
      <x:c r="B11" s="28" t="str">
        <x:v>Village Green Student Living</x:v>
      </x:c>
      <x:c r="C11" s="28" t="str">
        <x:v>$831</x:v>
      </x:c>
      <x:c r="D11" s="29" t="n">
        <x:v>831</x:v>
      </x:c>
      <x:c r="E11" s="29" t="n">
        <x:v>831</x:v>
      </x:c>
      <x:c r="F11" s="29" t="n">
        <x:f>AVERAGE(D11:E11)</x:f>
        <x:v>831</x:v>
      </x:c>
      <x:c r="G11" s="30" t="n">
        <x:v>1.815869405</x:v>
      </x:c>
      <x:c r="H11" s="28" t="str">
        <x:v>Saved description</x:v>
      </x:c>
      <x:c r="I11" s="28" t="str">
        <x:v>Yes</x:v>
      </x:c>
      <x:c r="J11" s="28" t="str">
        <x:v>The price of parking and all utilities are included in the base rent fee of ~$831/month.</x:v>
      </x:c>
      <x:c r="K11" s="28" t="str">
        <x:v>https://offcampus.dasa.ncsu.edu/housing/property/village-green-student-living/ocpepvxvln</x:v>
      </x:c>
      <x:c r="L11" s="28" t="str">
        <x:v>No</x:v>
      </x:c>
      <x:c r="M11" s="28" t="str"/>
    </x:row>
    <x:row r="12">
      <x:c r="A12" s="40" t="str">
        <x:v>ocp0gblz91</x:v>
      </x:c>
      <x:c r="B12" s="40" t="str">
        <x:v>Great value in beautiful SW Raleigh</x:v>
      </x:c>
      <x:c r="C12" s="40" t="str">
        <x:v>$850</x:v>
      </x:c>
      <x:c r="D12" s="41" t="n">
        <x:v>850</x:v>
      </x:c>
      <x:c r="E12" s="41" t="n">
        <x:v>850</x:v>
      </x:c>
      <x:c r="F12" s="41" t="n">
        <x:f>AVERAGE(D12:E12)</x:f>
        <x:v>850</x:v>
      </x:c>
      <x:c r="G12" s="42" t="n">
        <x:v>3.494769248</x:v>
      </x:c>
      <x:c r="H12" s="40" t="str">
        <x:v>Saved description</x:v>
      </x:c>
      <x:c r="I12" s="40" t="str">
        <x:v>Yes</x:v>
      </x:c>
      <x:c r="J12" s="40" t="str">
        <x:v>ALL utilities included (i.e., high speed internet, electricity/gas, water, etc.).</x:v>
      </x:c>
      <x:c r="K12" s="40" t="str">
        <x:v>https://offcampus.dasa.ncsu.edu/housing/property/great-value-in-beautiful-sw-raleigh/ocp0gblz91</x:v>
      </x:c>
      <x:c r="L12" s="40" t="str">
        <x:v>Yes</x:v>
      </x:c>
      <x:c r="M12" s="40" t="str">
        <x:v>ALL utilities included (i.e., high speed internet, electricity/gas, water, etc.).</x:v>
      </x:c>
    </x:row>
    <x:row r="13">
      <x:c r="A13" s="28" t="str">
        <x:v>ocp67ldb5s</x:v>
      </x:c>
      <x:c r="B13" s="28" t="str">
        <x:v>The Wilde</x:v>
      </x:c>
      <x:c r="C13" s="28" t="str">
        <x:v>$860</x:v>
      </x:c>
      <x:c r="D13" s="29" t="n">
        <x:v>860</x:v>
      </x:c>
      <x:c r="E13" s="29" t="n">
        <x:v>860</x:v>
      </x:c>
      <x:c r="F13" s="29" t="n">
        <x:f>AVERAGE(D13:E13)</x:f>
        <x:v>860</x:v>
      </x:c>
      <x:c r="G13" s="30" t="n">
        <x:v>2.038270328</x:v>
      </x:c>
      <x:c r="H13" s="28" t="str">
        <x:v>Saved description</x:v>
      </x:c>
      <x:c r="I13" s="28" t="str">
        <x:v>Yes</x:v>
      </x:c>
      <x:c r="J13" s="28" t="str">
        <x:v>The $860 rent is all inclusive of fees and utilities outside of 1 time administrative fees.</x:v>
      </x:c>
      <x:c r="K13" s="28" t="str">
        <x:v>https://offcampus.dasa.ncsu.edu/housing/property/the-wilde/ocp67ldb5s</x:v>
      </x:c>
      <x:c r="L13" s="28" t="str">
        <x:v>No</x:v>
      </x:c>
      <x:c r="M13" s="28" t="str"/>
    </x:row>
    <x:row r="15">
      <x:c r="A15" s="35" t="str">
        <x:v>COUNT</x:v>
      </x:c>
      <x:c r="B15" s="35" t="str">
        <x:v>Listing count</x:v>
      </x:c>
      <x:c r="C15" s="35" t="str"/>
      <x:c r="D15" s="35" t="n">
        <x:f>COUNT(D6:D13)</x:f>
        <x:v>8</x:v>
      </x:c>
      <x:c r="E15" s="35" t="n">
        <x:f>COUNT(E6:E13)</x:f>
        <x:v>8</x:v>
      </x:c>
      <x:c r="F15" s="35" t="n">
        <x:f>COUNT(F6:F13)</x:f>
        <x:v>8</x:v>
      </x:c>
      <x:c r="G15" s="35"/>
      <x:c r="H15" s="35"/>
      <x:c r="I15" s="35"/>
      <x:c r="J15" s="35"/>
      <x:c r="K15" s="35"/>
      <x:c r="L15" s="35"/>
      <x:c r="M15" s="35"/>
    </x:row>
    <x:row r="16">
      <x:c r="A16" s="35" t="str">
        <x:v>SUM</x:v>
      </x:c>
      <x:c r="B16" s="35" t="str">
        <x:v>Sum of rent values</x:v>
      </x:c>
      <x:c r="C16" s="35" t="str"/>
      <x:c r="D16" s="38" t="n">
        <x:f>SUM(D6:D13)</x:f>
        <x:v>6511</x:v>
      </x:c>
      <x:c r="E16" s="38" t="n">
        <x:f>SUM(E6:E13)</x:f>
        <x:v>6661</x:v>
      </x:c>
      <x:c r="F16" s="38" t="n">
        <x:f>SUM(F6:F13)</x:f>
        <x:v>6586</x:v>
      </x:c>
      <x:c r="G16" s="35"/>
      <x:c r="H16" s="35"/>
      <x:c r="I16" s="35"/>
      <x:c r="J16" s="35"/>
      <x:c r="K16" s="35"/>
      <x:c r="L16" s="35"/>
      <x:c r="M16" s="35"/>
    </x:row>
    <x:row r="17">
      <x:c r="A17" s="35" t="str">
        <x:v>MEAN</x:v>
      </x:c>
      <x:c r="B17" s="35" t="str">
        <x:v>Mean advertised rent</x:v>
      </x:c>
      <x:c r="C17" s="35" t="str"/>
      <x:c r="D17" s="38" t="n">
        <x:f>AVERAGE(D6:D13)</x:f>
        <x:v>813.875</x:v>
      </x:c>
      <x:c r="E17" s="38" t="n">
        <x:f>AVERAGE(E6:E13)</x:f>
        <x:v>832.625</x:v>
      </x:c>
      <x:c r="F17" s="38" t="n">
        <x:f>AVERAGE(F6:F13)</x:f>
        <x:v>823.25</x:v>
      </x:c>
      <x:c r="G17" s="35"/>
      <x:c r="H17" s="35"/>
      <x:c r="I17" s="35"/>
      <x:c r="J17" s="35"/>
      <x:c r="K17" s="35"/>
      <x:c r="L17" s="35"/>
      <x:c r="M17" s="35"/>
    </x:row>
    <x:row r="18">
      <x:c r="A18" s="35" t="str">
        <x:v>SUM ÷ COUNT CHECK</x:v>
      </x:c>
      <x:c r="B18" s="35" t="str">
        <x:v>Explicit check</x:v>
      </x:c>
      <x:c r="C18" s="35" t="str"/>
      <x:c r="D18" s="38" t="n">
        <x:f>D16/D15</x:f>
        <x:v>813.875</x:v>
      </x:c>
      <x:c r="E18" s="38" t="n">
        <x:f>E16/E15</x:f>
        <x:v>832.625</x:v>
      </x:c>
      <x:c r="F18" s="38" t="n">
        <x:f>F16/F15</x:f>
        <x:v>823.25</x:v>
      </x:c>
      <x:c r="G18" s="35"/>
      <x:c r="H18" s="35"/>
      <x:c r="I18" s="35"/>
      <x:c r="J18" s="35"/>
      <x:c r="K18" s="35"/>
      <x:c r="L18" s="35"/>
      <x:c r="M18" s="35"/>
    </x:row>
    <x:row r="19">
      <x:c r="A19" s="35" t="str">
        <x:v>MEDIAN</x:v>
      </x:c>
      <x:c r="B19" s="35" t="str">
        <x:v>Median advertised rent</x:v>
      </x:c>
      <x:c r="C19" s="35" t="str"/>
      <x:c r="D19" s="38" t="n">
        <x:f>MEDIAN(D6:D13)</x:f>
        <x:v>840.5</x:v>
      </x:c>
      <x:c r="E19" s="38" t="n">
        <x:f>MEDIAN(E6:E13)</x:f>
        <x:v>840.5</x:v>
      </x:c>
      <x:c r="F19" s="38" t="n">
        <x:f>MEDIAN(F6:F13)</x:f>
        <x:v>840.5</x:v>
      </x:c>
      <x:c r="G19" s="35"/>
      <x:c r="H19" s="35"/>
      <x:c r="I19" s="35"/>
      <x:c r="J19" s="35"/>
      <x:c r="K19" s="35"/>
      <x:c r="L19" s="35"/>
      <x:c r="M19" s="35"/>
    </x:row>
    <x:row r="21">
      <x:c r="A21" s="47" t="str">
        <x:v>GREEN ROWS — ALL UTILITIES + INTERNET/WI-FI (6)</x:v>
      </x:c>
      <x:c r="B21" s="47"/>
      <x:c r="C21" s="47"/>
      <x:c r="D21" s="47"/>
      <x:c r="E21" s="47"/>
      <x:c r="F21" s="47"/>
    </x:row>
    <x:row r="22">
      <x:c r="A22" s="35" t="str">
        <x:v>COUNT</x:v>
      </x:c>
      <x:c r="B22" s="35" t="str">
        <x:v>Highlighted listing count</x:v>
      </x:c>
      <x:c r="C22" s="35" t="str"/>
      <x:c r="D22" s="35"/>
      <x:c r="E22" s="35"/>
      <x:c r="F22" s="35" t="n">
        <x:f>COUNT(F6,F7,F8,F9,F10,F12)</x:f>
        <x:v>6</x:v>
      </x:c>
      <x:c r="G22" s="35"/>
      <x:c r="H22" s="35"/>
      <x:c r="I22" s="35"/>
      <x:c r="J22" s="35"/>
      <x:c r="K22" s="35"/>
      <x:c r="L22" s="35"/>
      <x:c r="M22" s="35"/>
    </x:row>
    <x:row r="23">
      <x:c r="A23" s="35" t="str">
        <x:v>SUM</x:v>
      </x:c>
      <x:c r="B23" s="35" t="str">
        <x:v>Sum of advertised midpoints</x:v>
      </x:c>
      <x:c r="C23" s="35" t="str"/>
      <x:c r="D23" s="35"/>
      <x:c r="E23" s="35"/>
      <x:c r="F23" s="38" t="n">
        <x:f>SUM(F6,F7,F8,F9,F10,F12)</x:f>
        <x:v>4895</x:v>
      </x:c>
      <x:c r="G23" s="35"/>
      <x:c r="H23" s="35"/>
      <x:c r="I23" s="35"/>
      <x:c r="J23" s="35"/>
      <x:c r="K23" s="35"/>
      <x:c r="L23" s="35"/>
      <x:c r="M23" s="35"/>
    </x:row>
    <x:row r="24">
      <x:c r="A24" s="35" t="str">
        <x:v>MEAN</x:v>
      </x:c>
      <x:c r="B24" s="35" t="str">
        <x:v>Mean advertised midpoint</x:v>
      </x:c>
      <x:c r="C24" s="35" t="str"/>
      <x:c r="D24" s="35"/>
      <x:c r="E24" s="35"/>
      <x:c r="F24" s="38" t="n">
        <x:f>AVERAGE(F6,F7,F8,F9,F10,F12)</x:f>
        <x:v>815.8333333333334</x:v>
      </x:c>
      <x:c r="G24" s="35"/>
      <x:c r="H24" s="35"/>
      <x:c r="I24" s="35"/>
      <x:c r="J24" s="35"/>
      <x:c r="K24" s="35"/>
      <x:c r="L24" s="35"/>
      <x:c r="M24" s="35"/>
    </x:row>
    <x:row r="25">
      <x:c r="A25" s="35" t="str">
        <x:v>SUM ÷ COUNT CHECK</x:v>
      </x:c>
      <x:c r="B25" s="35" t="str">
        <x:v>Explicit check</x:v>
      </x:c>
      <x:c r="C25" s="35" t="str"/>
      <x:c r="D25" s="35"/>
      <x:c r="E25" s="35"/>
      <x:c r="F25" s="38" t="n">
        <x:f>F23/F22</x:f>
        <x:v>815.8333333333334</x:v>
      </x:c>
      <x:c r="G25" s="35"/>
      <x:c r="H25" s="35"/>
      <x:c r="I25" s="35"/>
      <x:c r="J25" s="35"/>
      <x:c r="K25" s="35"/>
      <x:c r="L25" s="35"/>
      <x:c r="M25" s="35"/>
    </x:row>
    <x:row r="26">
      <x:c r="A26" s="35" t="str">
        <x:v>MEDIAN</x:v>
      </x:c>
      <x:c r="B26" s="35" t="str">
        <x:v>Median advertised midpoint</x:v>
      </x:c>
      <x:c r="C26" s="35" t="str"/>
      <x:c r="D26" s="35"/>
      <x:c r="E26" s="35"/>
      <x:c r="F26" s="38" t="n">
        <x:f>MEDIAN(F6,F7,F8,F9,F10,F12)</x:f>
        <x:v>800</x:v>
      </x:c>
      <x:c r="G26" s="35"/>
      <x:c r="H26" s="35"/>
      <x:c r="I26" s="35"/>
      <x:c r="J26" s="35"/>
      <x:c r="K26" s="35"/>
      <x:c r="L26" s="35"/>
      <x:c r="M26" s="35"/>
    </x:row>
  </x:sheetData>
  <x:mergeCells>
    <x:mergeCell ref="A1:M1"/>
    <x:mergeCell ref="A2:M3"/>
    <x:mergeCell ref="A21:F2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15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4" hidden="0" customWidth="1"/>
    <x:col min="9" max="9" width="20" hidden="0" customWidth="1"/>
    <x:col min="10" max="10" width="18" hidden="0" customWidth="1"/>
    <x:col min="11" max="11" width="18" hidden="0" customWidth="1"/>
    <x:col min="12" max="12" width="52" hidden="0" customWidth="1"/>
    <x:col min="13" max="13" width="54" hidden="0" customWidth="1"/>
    <x:col min="14" max="14" width="20" hidden="0" customWidth="1"/>
    <x:col min="15" max="15" width="54" hidden="0" customWidth="1"/>
    <x:col min="16" max="16" width="44" hidden="0" customWidth="1"/>
    <x:col min="17" max="17" width="20" hidden="0" customWidth="1"/>
    <x:col min="18" max="18" width="54" hidden="0" customWidth="1"/>
    <x:col min="19" max="19" width="22" hidden="0" customWidth="1"/>
    <x:col min="20" max="20" width="48" hidden="0" customWidth="1"/>
  </x:cols>
  <x:sheetData>
    <x:row r="1">
      <x:c r="A1" s="53" t="str">
        <x:v>Main Campus Analytic Sample — 74 Listings</x:v>
      </x:c>
      <x:c r="B1" s="53"/>
      <x:c r="C1" s="53"/>
      <x:c r="D1" s="53"/>
      <x:c r="E1" s="53"/>
      <x:c r="F1" s="53"/>
      <x:c r="G1" s="53"/>
      <x:c r="H1" s="53"/>
      <x:c r="I1" s="53"/>
      <x:c r="J1" s="53"/>
      <x:c r="K1" s="53"/>
      <x:c r="L1" s="53"/>
      <x:c r="M1" s="3"/>
      <x:c r="N1" s="3"/>
      <x:c r="O1" s="3"/>
      <x:c r="P1" s="3"/>
      <x:c r="Q1" s="3"/>
      <x:c r="R1" s="3"/>
      <x:c r="S1" s="3"/>
      <x:c r="T1" s="3"/>
    </x:row>
    <x:row r="2">
      <x:c r="A2" s="54" t="str">
        <x:v>All 74 private-bedroom/per-bedroom listings used in the article denominator. The subgroup column shows which listings appear in the 41-listing utility-inclusion audit; the all-utilities and internet/Wi-Fi flags come from that saved utility review.</x:v>
      </x:c>
      <x:c r="B2" s="54"/>
      <x:c r="C2" s="54"/>
      <x:c r="D2" s="54"/>
      <x:c r="E2" s="54"/>
      <x:c r="F2" s="54"/>
      <x:c r="G2" s="54"/>
      <x:c r="H2" s="54"/>
      <x:c r="I2" s="54"/>
      <x:c r="J2" s="54"/>
      <x:c r="K2" s="54"/>
      <x:c r="L2" s="54"/>
      <x:c r="M2" s="10"/>
      <x:c r="N2" s="10"/>
      <x:c r="O2" s="10"/>
      <x:c r="P2" s="10"/>
      <x:c r="Q2" s="10"/>
      <x:c r="R2" s="10"/>
      <x:c r="S2" s="10"/>
      <x:c r="T2" s="10"/>
    </x:row>
    <x:row r="3">
      <x:c r="A3" s="54"/>
      <x:c r="B3" s="54"/>
      <x:c r="C3" s="54"/>
      <x:c r="D3" s="54"/>
      <x:c r="E3" s="54"/>
      <x:c r="F3" s="54"/>
      <x:c r="G3" s="54"/>
      <x:c r="H3" s="54"/>
      <x:c r="I3" s="54"/>
      <x:c r="J3" s="54"/>
      <x:c r="K3" s="54"/>
      <x:c r="L3" s="54"/>
      <x:c r="M3" s="10"/>
      <x:c r="N3" s="10"/>
      <x:c r="O3" s="10"/>
      <x:c r="P3" s="10"/>
      <x:c r="Q3" s="10"/>
      <x:c r="R3" s="10"/>
      <x:c r="S3" s="10"/>
      <x:c r="T3" s="10"/>
    </x:row>
    <x:row r="5">
      <x:c r="A5" s="55" t="str">
        <x:v>Listing ID</x:v>
      </x:c>
      <x:c r="B5" s="55" t="str">
        <x:v>Listing</x:v>
      </x:c>
      <x:c r="C5" s="55" t="str">
        <x:v>Advertised price</x:v>
      </x:c>
      <x:c r="D5" s="55" t="str">
        <x:v>Rent low</x:v>
      </x:c>
      <x:c r="E5" s="55" t="str">
        <x:v>Rent high</x:v>
      </x:c>
      <x:c r="F5" s="55" t="str">
        <x:v>Midpoint</x:v>
      </x:c>
      <x:c r="G5" s="55" t="str">
        <x:v>Distance (mi)</x:v>
      </x:c>
      <x:c r="H5" s="55" t="str">
        <x:v>Distance band</x:v>
      </x:c>
      <x:c r="I5" s="55" t="str">
        <x:v>In 41-listing utility subgroup?</x:v>
      </x:c>
      <x:c r="J5" s="55" t="str">
        <x:v>All utilities explicit?</x:v>
      </x:c>
      <x:c r="K5" s="55" t="str">
        <x:v>Internet/Wi-Fi explicit?</x:v>
      </x:c>
      <x:c r="L5" s="55" t="str">
        <x:v>Original listing URL</x:v>
      </x:c>
      <x:c r="M5" s="18"/>
      <x:c r="N5" s="18"/>
      <x:c r="O5" s="18"/>
      <x:c r="P5" s="18"/>
      <x:c r="Q5" s="18"/>
      <x:c r="R5" s="18"/>
      <x:c r="S5" s="18"/>
      <x:c r="T5" s="18"/>
    </x:row>
    <x:row r="6">
      <x:c r="A6" s="28" t="str">
        <x:v>ocpet5b7hm</x:v>
      </x:c>
      <x:c r="B6" s="28" t="str">
        <x:v>Modern/High Ceilings 2bed/2 bath</x:v>
      </x:c>
      <x:c r="C6" s="28" t="str">
        <x:v>$1,250</x:v>
      </x:c>
      <x:c r="D6" s="29" t="n">
        <x:v>1250</x:v>
      </x:c>
      <x:c r="E6" s="29" t="n">
        <x:v>1250</x:v>
      </x:c>
      <x:c r="F6" s="29" t="n">
        <x:v>1250</x:v>
      </x:c>
      <x:c r="G6" s="30" t="n">
        <x:v>1.026552005</x:v>
      </x:c>
      <x:c r="H6" s="28" t="str">
        <x:v>&gt;1–3 mi</x:v>
      </x:c>
      <x:c r="I6" s="28" t="str">
        <x:v>Yes</x:v>
      </x:c>
      <x:c r="J6" s="28" t="str">
        <x:v>No</x:v>
      </x:c>
      <x:c r="K6" s="28" t="str">
        <x:v>No</x:v>
      </x:c>
      <x:c r="L6" s="28" t="str">
        <x:v>https://offcampus.dasa.ncsu.edu/housing/property/modern-high-ceilings-2bed-2-bath/ocpet5b7hm</x:v>
      </x:c>
      <x:c r="M6" s="28"/>
      <x:c r="N6" s="28"/>
      <x:c r="O6" s="28"/>
      <x:c r="P6" s="28"/>
      <x:c r="Q6" s="28"/>
      <x:c r="R6" s="28"/>
      <x:c r="S6" s="28"/>
      <x:c r="T6" s="28"/>
    </x:row>
    <x:row r="7">
      <x:c r="A7" s="28" t="str">
        <x:v>7e6kx1w</x:v>
      </x:c>
      <x:c r="B7" s="28" t="str">
        <x:v>Centennial Ridge Student Housing</x:v>
      </x:c>
      <x:c r="C7" s="28" t="str">
        <x:v>$599 - $2,157</x:v>
      </x:c>
      <x:c r="D7" s="29" t="n">
        <x:v>599</x:v>
      </x:c>
      <x:c r="E7" s="29" t="n">
        <x:v>2157</x:v>
      </x:c>
      <x:c r="F7" s="29" t="n">
        <x:v>1378</x:v>
      </x:c>
      <x:c r="G7" s="30" t="n">
        <x:v>2.372144719</x:v>
      </x:c>
      <x:c r="H7" s="28" t="str">
        <x:v>&gt;1–3 mi</x:v>
      </x:c>
      <x:c r="I7" s="28" t="str">
        <x:v>Yes</x:v>
      </x:c>
      <x:c r="J7" s="28" t="str">
        <x:v>No</x:v>
      </x:c>
      <x:c r="K7" s="28" t="str">
        <x:v>Yes</x:v>
      </x:c>
      <x:c r="L7" s="28" t="str">
        <x:v>https://offcampus.dasa.ncsu.edu/housing/property/centennial-ridge-student-housing/7e6kx1w</x:v>
      </x:c>
      <x:c r="M7" s="28"/>
      <x:c r="N7" s="28"/>
      <x:c r="O7" s="28"/>
      <x:c r="P7" s="28"/>
      <x:c r="Q7" s="28"/>
      <x:c r="R7" s="28"/>
      <x:c r="S7" s="28"/>
      <x:c r="T7" s="28"/>
    </x:row>
    <x:row r="8">
      <x:c r="A8" s="28" t="str">
        <x:v>ocpw46rjcl</x:v>
      </x:c>
      <x:c r="B8" s="28" t="str">
        <x:v>Brand New Luxury Furnished Townhome | 4 Bed /  3.5 Bath | 5 Min to NC State &amp; 3 Mins to Fenton +shop</x:v>
      </x:c>
      <x:c r="C8" s="28" t="str">
        <x:v>$900 - $1,050</x:v>
      </x:c>
      <x:c r="D8" s="29" t="n">
        <x:v>900</x:v>
      </x:c>
      <x:c r="E8" s="29" t="n">
        <x:v>1050</x:v>
      </x:c>
      <x:c r="F8" s="29" t="n">
        <x:v>975</x:v>
      </x:c>
      <x:c r="G8" s="30" t="n">
        <x:v>3.33499703</x:v>
      </x:c>
      <x:c r="H8" s="28" t="str">
        <x:v>&gt;3–5 mi</x:v>
      </x:c>
      <x:c r="I8" s="28" t="str">
        <x:v>Yes</x:v>
      </x:c>
      <x:c r="J8" s="28" t="str">
        <x:v>Yes</x:v>
      </x:c>
      <x:c r="K8" s="28" t="str">
        <x:v>Yes</x:v>
      </x:c>
      <x:c r="L8" s="28" t="str">
        <x:v>https://offcampus.dasa.ncsu.edu/housing/property/brand-new-luxury-furnished-townhome-4-bed-3-5-bath-5-min-to-nc-state-and-3-mins-to-fenton-shop/ocpw46rjcl</x:v>
      </x:c>
      <x:c r="M8" s="28"/>
      <x:c r="N8" s="28"/>
      <x:c r="O8" s="28"/>
      <x:c r="P8" s="28"/>
      <x:c r="Q8" s="28"/>
      <x:c r="R8" s="28"/>
      <x:c r="S8" s="28"/>
      <x:c r="T8" s="28"/>
    </x:row>
    <x:row r="9">
      <x:c r="A9" s="28" t="str">
        <x:v>ocpchygggd</x:v>
      </x:c>
      <x:c r="B9" s="28" t="str">
        <x:v>Hurry 2 Rooms Left! – 4BR/4BA Condo Near NC State  – All Utilities &amp; Internet Included!</x:v>
      </x:c>
      <x:c r="C9" s="28" t="str">
        <x:v>$695</x:v>
      </x:c>
      <x:c r="D9" s="29" t="n">
        <x:v>695</x:v>
      </x:c>
      <x:c r="E9" s="29" t="n">
        <x:v>695</x:v>
      </x:c>
      <x:c r="F9" s="29" t="n">
        <x:v>695</x:v>
      </x:c>
      <x:c r="G9" s="30" t="n">
        <x:v>2.192366298</x:v>
      </x:c>
      <x:c r="H9" s="28" t="str">
        <x:v>&gt;1–3 mi</x:v>
      </x:c>
      <x:c r="I9" s="28" t="str">
        <x:v>Yes</x:v>
      </x:c>
      <x:c r="J9" s="28" t="str">
        <x:v>Yes</x:v>
      </x:c>
      <x:c r="K9" s="28" t="str">
        <x:v>Yes</x:v>
      </x:c>
      <x:c r="L9" s="28" t="str">
        <x:v>https://offcampus.dasa.ncsu.edu/housing/property/hurry-2-rooms-left-4br-4ba-condo-near-nc-state-all-utilities-and-internet-included/ocpchygggd</x:v>
      </x:c>
      <x:c r="M9" s="28"/>
      <x:c r="N9" s="28"/>
      <x:c r="O9" s="28"/>
      <x:c r="P9" s="28"/>
      <x:c r="Q9" s="28"/>
      <x:c r="R9" s="28"/>
      <x:c r="S9" s="28"/>
      <x:c r="T9" s="28"/>
    </x:row>
    <x:row r="10">
      <x:c r="A10" s="28" t="str">
        <x:v>ocpesl9n3p</x:v>
      </x:c>
      <x:c r="B10" s="28" t="str">
        <x:v>maisonNC --- Fully Furnished minutes away from Wolfline and Shopping</x:v>
      </x:c>
      <x:c r="C10" s="28" t="str">
        <x:v>$750</x:v>
      </x:c>
      <x:c r="D10" s="29" t="n">
        <x:v>750</x:v>
      </x:c>
      <x:c r="E10" s="29" t="n">
        <x:v>750</x:v>
      </x:c>
      <x:c r="F10" s="29" t="n">
        <x:v>750</x:v>
      </x:c>
      <x:c r="G10" s="30" t="n">
        <x:v>1.619349362</x:v>
      </x:c>
      <x:c r="H10" s="28" t="str">
        <x:v>&gt;1–3 mi</x:v>
      </x:c>
      <x:c r="I10" s="28" t="str">
        <x:v>Yes</x:v>
      </x:c>
      <x:c r="J10" s="28" t="str">
        <x:v>Yes</x:v>
      </x:c>
      <x:c r="K10" s="28" t="str">
        <x:v>Yes</x:v>
      </x:c>
      <x:c r="L10" s="28" t="str">
        <x:v>https://offcampus.dasa.ncsu.edu/housing/property/maisonnc-fully-furnished-minutes-away-from-wolfline-and-shopping/ocpesl9n3p</x:v>
      </x:c>
      <x:c r="M10" s="28"/>
      <x:c r="N10" s="28"/>
      <x:c r="O10" s="28"/>
      <x:c r="P10" s="28"/>
      <x:c r="Q10" s="28"/>
      <x:c r="R10" s="28"/>
      <x:c r="S10" s="28"/>
      <x:c r="T10" s="28"/>
    </x:row>
    <x:row r="11">
      <x:c r="A11" s="28" t="str">
        <x:v>ocpcm3jede</x:v>
      </x:c>
      <x:c r="B11" s="28" t="str">
        <x:v>maisonNC --- Fully Furnished minutes away from Wolfline and Shopping</x:v>
      </x:c>
      <x:c r="C11" s="28" t="str">
        <x:v>$750</x:v>
      </x:c>
      <x:c r="D11" s="29" t="n">
        <x:v>750</x:v>
      </x:c>
      <x:c r="E11" s="29" t="n">
        <x:v>750</x:v>
      </x:c>
      <x:c r="F11" s="29" t="n">
        <x:v>750</x:v>
      </x:c>
      <x:c r="G11" s="30" t="n">
        <x:v>1.600371218</x:v>
      </x:c>
      <x:c r="H11" s="28" t="str">
        <x:v>&gt;1–3 mi</x:v>
      </x:c>
      <x:c r="I11" s="28" t="str">
        <x:v>Yes</x:v>
      </x:c>
      <x:c r="J11" s="28" t="str">
        <x:v>Yes</x:v>
      </x:c>
      <x:c r="K11" s="28" t="str">
        <x:v>Yes</x:v>
      </x:c>
      <x:c r="L11" s="28" t="str">
        <x:v>https://offcampus.dasa.ncsu.edu/housing/property/maisonnc-fully-furnished-minutes-away-from-wolfline-and-shopping/ocpcm3jede</x:v>
      </x:c>
      <x:c r="M11" s="28"/>
      <x:c r="N11" s="28"/>
      <x:c r="O11" s="28"/>
      <x:c r="P11" s="28"/>
      <x:c r="Q11" s="28"/>
      <x:c r="R11" s="28"/>
      <x:c r="S11" s="28"/>
      <x:c r="T11" s="28"/>
    </x:row>
    <x:row r="12">
      <x:c r="A12" s="28" t="str">
        <x:v>ocpnx5c0kn</x:v>
      </x:c>
      <x:c r="B12" s="28" t="str">
        <x:v>Modern &amp; spacious 3BR/3BA Apartment w/View</x:v>
      </x:c>
      <x:c r="C12" s="28" t="str">
        <x:v>$1,000</x:v>
      </x:c>
      <x:c r="D12" s="29" t="n">
        <x:v>1000</x:v>
      </x:c>
      <x:c r="E12" s="29" t="n">
        <x:v>1000</x:v>
      </x:c>
      <x:c r="F12" s="29" t="n">
        <x:v>1000</x:v>
      </x:c>
      <x:c r="G12" s="30" t="n">
        <x:v>1.036129373</x:v>
      </x:c>
      <x:c r="H12" s="28" t="str">
        <x:v>&gt;1–3 mi</x:v>
      </x:c>
      <x:c r="I12" s="28" t="str">
        <x:v>Yes</x:v>
      </x:c>
      <x:c r="J12" s="28" t="str">
        <x:v>No</x:v>
      </x:c>
      <x:c r="K12" s="28" t="str">
        <x:v>Yes</x:v>
      </x:c>
      <x:c r="L12" s="28" t="str">
        <x:v>https://offcampus.dasa.ncsu.edu/housing/property/modern-and-spacious-3br-3ba-apartment-w-view/ocpnx5c0kn</x:v>
      </x:c>
      <x:c r="M12" s="28"/>
      <x:c r="N12" s="28"/>
      <x:c r="O12" s="28"/>
      <x:c r="P12" s="28"/>
      <x:c r="Q12" s="28"/>
      <x:c r="R12" s="28"/>
      <x:c r="S12" s="28"/>
      <x:c r="T12" s="28"/>
    </x:row>
    <x:row r="13">
      <x:c r="A13" s="28" t="str">
        <x:v>ocpjeweyz6</x:v>
      </x:c>
      <x:c r="B13" s="28" t="str">
        <x:v>All Girls Unit - Room with Private Bathroom at  University Woods at Centennial Condominiums</x:v>
      </x:c>
      <x:c r="C13" s="28" t="str">
        <x:v>$645</x:v>
      </x:c>
      <x:c r="D13" s="29" t="n">
        <x:v>645</x:v>
      </x:c>
      <x:c r="E13" s="29" t="n">
        <x:v>645</x:v>
      </x:c>
      <x:c r="F13" s="29" t="n">
        <x:v>645</x:v>
      </x:c>
      <x:c r="G13" s="30" t="n">
        <x:v>2.188347488</x:v>
      </x:c>
      <x:c r="H13" s="28" t="str">
        <x:v>&gt;1–3 mi</x:v>
      </x:c>
      <x:c r="I13" s="28" t="str">
        <x:v>Yes</x:v>
      </x:c>
      <x:c r="J13" s="28" t="str">
        <x:v>No</x:v>
      </x:c>
      <x:c r="K13" s="28" t="str">
        <x:v>Yes</x:v>
      </x:c>
      <x:c r="L13" s="28" t="str">
        <x:v>https://offcampus.dasa.ncsu.edu/housing/property/all-girls-unit-room-with-private-bathroom-at-university-woods-at-centennial-condominiums/ocpjeweyz6</x:v>
      </x:c>
      <x:c r="M13" s="28"/>
      <x:c r="N13" s="28"/>
      <x:c r="O13" s="28"/>
      <x:c r="P13" s="28"/>
      <x:c r="Q13" s="28"/>
      <x:c r="R13" s="28"/>
      <x:c r="S13" s="28"/>
      <x:c r="T13" s="28"/>
    </x:row>
    <x:row r="14">
      <x:c r="A14" s="28" t="str">
        <x:v>0smdl31</x:v>
      </x:c>
      <x:c r="B14" s="28" t="str">
        <x:v>Paloma Raleigh</x:v>
      </x:c>
      <x:c r="C14" s="28" t="str">
        <x:v>$749 - $1,599</x:v>
      </x:c>
      <x:c r="D14" s="29" t="n">
        <x:v>749</x:v>
      </x:c>
      <x:c r="E14" s="29" t="n">
        <x:v>1599</x:v>
      </x:c>
      <x:c r="F14" s="29" t="n">
        <x:v>1174</x:v>
      </x:c>
      <x:c r="G14" s="30" t="n">
        <x:v>2.624931081</x:v>
      </x:c>
      <x:c r="H14" s="28" t="str">
        <x:v>&gt;1–3 mi</x:v>
      </x:c>
      <x:c r="I14" s="28" t="str">
        <x:v>Yes</x:v>
      </x:c>
      <x:c r="J14" s="28" t="str">
        <x:v>No</x:v>
      </x:c>
      <x:c r="K14" s="28" t="str">
        <x:v>Yes</x:v>
      </x:c>
      <x:c r="L14" s="28" t="str">
        <x:v>https://offcampus.dasa.ncsu.edu/housing/property/paloma-raleigh/0smdl31</x:v>
      </x:c>
      <x:c r="M14" s="28"/>
      <x:c r="N14" s="28"/>
      <x:c r="O14" s="28"/>
      <x:c r="P14" s="28"/>
      <x:c r="Q14" s="28"/>
      <x:c r="R14" s="28"/>
      <x:c r="S14" s="28"/>
      <x:c r="T14" s="28"/>
    </x:row>
    <x:row r="15">
      <x:c r="A15" s="28" t="str">
        <x:v>ocppjxdd3r</x:v>
      </x:c>
      <x:c r="B15" s="28" t="str">
        <x:v>Collegeview Duplex--Brand New Luxury Housing within walking distance to NCSU</x:v>
      </x:c>
      <x:c r="C15" s="28" t="str">
        <x:v>$900 - $950</x:v>
      </x:c>
      <x:c r="D15" s="29" t="n">
        <x:v>900</x:v>
      </x:c>
      <x:c r="E15" s="29" t="n">
        <x:v>950</x:v>
      </x:c>
      <x:c r="F15" s="29" t="n">
        <x:v>925</x:v>
      </x:c>
      <x:c r="G15" s="30" t="n">
        <x:v>0.249152533</x:v>
      </x:c>
      <x:c r="H15" s="28" t="str">
        <x:v>0–1 mi</x:v>
      </x:c>
      <x:c r="I15" s="28" t="str">
        <x:v>Yes</x:v>
      </x:c>
      <x:c r="J15" s="28" t="str">
        <x:v>No</x:v>
      </x:c>
      <x:c r="K15" s="28" t="str">
        <x:v>No</x:v>
      </x:c>
      <x:c r="L15" s="28" t="str">
        <x:v>https://offcampus.dasa.ncsu.edu/housing/property/collegeview-duplex-brand-new-luxury-housing-within-walking-distance-to-ncsu/ocppjxdd3r</x:v>
      </x:c>
      <x:c r="M15" s="28"/>
      <x:c r="N15" s="28"/>
      <x:c r="O15" s="28"/>
      <x:c r="P15" s="28"/>
      <x:c r="Q15" s="28"/>
      <x:c r="R15" s="28"/>
      <x:c r="S15" s="28"/>
      <x:c r="T15" s="28"/>
    </x:row>
    <x:row r="16">
      <x:c r="A16" s="28" t="str">
        <x:v>ocpe1n95cm</x:v>
      </x:c>
      <x:c r="B16" s="28" t="str">
        <x:v>Big Promotion w/best price ever. Move in Immediately . MarcomTowns. Great location nice</x:v>
      </x:c>
      <x:c r="C16" s="28" t="str">
        <x:v>$950</x:v>
      </x:c>
      <x:c r="D16" s="29" t="n">
        <x:v>950</x:v>
      </x:c>
      <x:c r="E16" s="29" t="n">
        <x:v>950</x:v>
      </x:c>
      <x:c r="F16" s="29" t="n">
        <x:v>950</x:v>
      </x:c>
      <x:c r="G16" s="30" t="n">
        <x:v>0.243489368</x:v>
      </x:c>
      <x:c r="H16" s="28" t="str">
        <x:v>0–1 mi</x:v>
      </x:c>
      <x:c r="I16" s="28" t="str">
        <x:v>Yes</x:v>
      </x:c>
      <x:c r="J16" s="28" t="str">
        <x:v>No</x:v>
      </x:c>
      <x:c r="K16" s="28" t="str">
        <x:v>No</x:v>
      </x:c>
      <x:c r="L16" s="28" t="str">
        <x:v>https://offcampus.dasa.ncsu.edu/housing/property/big-promotion-w-best-price-ever-move-in-immediately-marcomtowns-great-location-nice/ocpe1n95cm</x:v>
      </x:c>
      <x:c r="M16" s="28"/>
      <x:c r="N16" s="28"/>
      <x:c r="O16" s="28"/>
      <x:c r="P16" s="28"/>
      <x:c r="Q16" s="28"/>
      <x:c r="R16" s="28"/>
      <x:c r="S16" s="28"/>
      <x:c r="T16" s="28"/>
    </x:row>
    <x:row r="17">
      <x:c r="A17" s="28" t="str">
        <x:v>ocp2evl6hb</x:v>
      </x:c>
      <x:c r="B17" s="28" t="str">
        <x:v>University Oaks -</x:v>
      </x:c>
      <x:c r="C17" s="28" t="str">
        <x:v>$725</x:v>
      </x:c>
      <x:c r="D17" s="29" t="n">
        <x:v>725</x:v>
      </x:c>
      <x:c r="E17" s="29" t="n">
        <x:v>725</x:v>
      </x:c>
      <x:c r="F17" s="29" t="n">
        <x:v>725</x:v>
      </x:c>
      <x:c r="G17" s="30" t="n">
        <x:v>0.440031949</x:v>
      </x:c>
      <x:c r="H17" s="28" t="str">
        <x:v>0–1 mi</x:v>
      </x:c>
      <x:c r="I17" s="28" t="str">
        <x:v>Yes</x:v>
      </x:c>
      <x:c r="J17" s="28" t="str">
        <x:v>No</x:v>
      </x:c>
      <x:c r="K17" s="28" t="str">
        <x:v>Yes</x:v>
      </x:c>
      <x:c r="L17" s="28" t="str">
        <x:v>https://offcampus.dasa.ncsu.edu/housing/property/university-oaks/ocp2evl6hb</x:v>
      </x:c>
      <x:c r="M17" s="28"/>
      <x:c r="N17" s="28"/>
      <x:c r="O17" s="28"/>
      <x:c r="P17" s="28"/>
      <x:c r="Q17" s="28"/>
      <x:c r="R17" s="28"/>
      <x:c r="S17" s="28"/>
      <x:c r="T17" s="28"/>
    </x:row>
    <x:row r="18">
      <x:c r="A18" s="28" t="str">
        <x:v>ocpvlydr3e</x:v>
      </x:c>
      <x:c r="B18" s="28" t="str">
        <x:v>Reavis ---Brand New Luxury Housing within walking distance to NCSU</x:v>
      </x:c>
      <x:c r="C18" s="28" t="str">
        <x:v>$925 - $975</x:v>
      </x:c>
      <x:c r="D18" s="29" t="n">
        <x:v>925</x:v>
      </x:c>
      <x:c r="E18" s="29" t="n">
        <x:v>975</x:v>
      </x:c>
      <x:c r="F18" s="29" t="n">
        <x:v>950</x:v>
      </x:c>
      <x:c r="G18" s="30" t="n">
        <x:v>0.846079213</x:v>
      </x:c>
      <x:c r="H18" s="28" t="str">
        <x:v>0–1 mi</x:v>
      </x:c>
      <x:c r="I18" s="28" t="str">
        <x:v>Yes</x:v>
      </x:c>
      <x:c r="J18" s="28" t="str">
        <x:v>No</x:v>
      </x:c>
      <x:c r="K18" s="28" t="str">
        <x:v>No</x:v>
      </x:c>
      <x:c r="L18" s="28" t="str">
        <x:v>https://offcampus.dasa.ncsu.edu/housing/property/reavis-brand-new-luxury-housing-within-walking-distance-to-ncsu/ocpvlydr3e</x:v>
      </x:c>
      <x:c r="M18" s="28"/>
      <x:c r="N18" s="28"/>
      <x:c r="O18" s="28"/>
      <x:c r="P18" s="28"/>
      <x:c r="Q18" s="28"/>
      <x:c r="R18" s="28"/>
      <x:c r="S18" s="28"/>
      <x:c r="T18" s="28"/>
    </x:row>
    <x:row r="19">
      <x:c r="A19" s="28" t="str">
        <x:v>ocpxdxd79p</x:v>
      </x:c>
      <x:c r="B19" s="28" t="str">
        <x:v>4BR/4BA Condo| On Wolfline | Preleasing 27-28 Special $850 Util/Parking Incld | Mile to Campus</x:v>
      </x:c>
      <x:c r="C19" s="28" t="str">
        <x:v>$875</x:v>
      </x:c>
      <x:c r="D19" s="29" t="n">
        <x:v>875</x:v>
      </x:c>
      <x:c r="E19" s="29" t="n">
        <x:v>875</x:v>
      </x:c>
      <x:c r="F19" s="29" t="n">
        <x:v>875</x:v>
      </x:c>
      <x:c r="G19" s="30" t="n">
        <x:v>0.655411437</x:v>
      </x:c>
      <x:c r="H19" s="28" t="str">
        <x:v>0–1 mi</x:v>
      </x:c>
      <x:c r="I19" s="28" t="str">
        <x:v>Yes</x:v>
      </x:c>
      <x:c r="J19" s="28" t="str">
        <x:v>Yes</x:v>
      </x:c>
      <x:c r="K19" s="28" t="str">
        <x:v>Yes</x:v>
      </x:c>
      <x:c r="L19" s="28" t="str">
        <x:v>https://offcampus.dasa.ncsu.edu/housing/property/4br-4ba-condo-on-wolfline-preleasing-27-28-special-850-util-parking-incld-mile-to-campus/ocpxdxd79p</x:v>
      </x:c>
      <x:c r="M19" s="28"/>
      <x:c r="N19" s="28"/>
      <x:c r="O19" s="28"/>
      <x:c r="P19" s="28"/>
      <x:c r="Q19" s="28"/>
      <x:c r="R19" s="28"/>
      <x:c r="S19" s="28"/>
      <x:c r="T19" s="28"/>
    </x:row>
    <x:row r="20">
      <x:c r="A20" s="28" t="str">
        <x:v>ocpm68s5sh</x:v>
      </x:c>
      <x:c r="B20" s="28" t="str">
        <x:v>Burt Drive Townhouses---Brand New Luxury Housing within walking distance to NCSU</x:v>
      </x:c>
      <x:c r="C20" s="28" t="str">
        <x:v>$1,050</x:v>
      </x:c>
      <x:c r="D20" s="29" t="n">
        <x:v>1050</x:v>
      </x:c>
      <x:c r="E20" s="29" t="n">
        <x:v>1050</x:v>
      </x:c>
      <x:c r="F20" s="29" t="n">
        <x:v>1050</x:v>
      </x:c>
      <x:c r="G20" s="30" t="n">
        <x:v>0.339887457</x:v>
      </x:c>
      <x:c r="H20" s="28" t="str">
        <x:v>0–1 mi</x:v>
      </x:c>
      <x:c r="I20" s="28" t="str">
        <x:v>Yes</x:v>
      </x:c>
      <x:c r="J20" s="28" t="str">
        <x:v>No</x:v>
      </x:c>
      <x:c r="K20" s="28" t="str">
        <x:v>No</x:v>
      </x:c>
      <x:c r="L20" s="28" t="str">
        <x:v>https://offcampus.dasa.ncsu.edu/housing/property/burt-drive-townhouses-brand-new-luxury-housing-within-walking-distance-to-ncsu/ocpm68s5sh</x:v>
      </x:c>
      <x:c r="M20" s="28"/>
      <x:c r="N20" s="28"/>
      <x:c r="O20" s="28"/>
      <x:c r="P20" s="28"/>
      <x:c r="Q20" s="28"/>
      <x:c r="R20" s="28"/>
      <x:c r="S20" s="28"/>
      <x:c r="T20" s="28"/>
    </x:row>
    <x:row r="21">
      <x:c r="A21" s="28" t="str">
        <x:v>ocp2k0px98</x:v>
      </x:c>
      <x:c r="B21" s="28" t="str">
        <x:v>Liberty station male only townhome- 5 miles from Centennial</x:v>
      </x:c>
      <x:c r="C21" s="28" t="str">
        <x:v>$900</x:v>
      </x:c>
      <x:c r="D21" s="29" t="n">
        <x:v>900</x:v>
      </x:c>
      <x:c r="E21" s="29" t="n">
        <x:v>900</x:v>
      </x:c>
      <x:c r="F21" s="29" t="n">
        <x:v>900</x:v>
      </x:c>
      <x:c r="G21" s="30" t="n">
        <x:v>4.064953715</x:v>
      </x:c>
      <x:c r="H21" s="28" t="str">
        <x:v>&gt;3–5 mi</x:v>
      </x:c>
      <x:c r="I21" s="28" t="str">
        <x:v>No</x:v>
      </x:c>
      <x:c r="J21" s="28" t="str">
        <x:v>No</x:v>
      </x:c>
      <x:c r="K21" s="28" t="str">
        <x:v>No</x:v>
      </x:c>
      <x:c r="L21" s="28" t="str">
        <x:v>https://offcampus.dasa.ncsu.edu/housing/property/liberty-station-male-only-townhome-5-miles-from-centennial/ocp2k0px98</x:v>
      </x:c>
      <x:c r="M21" s="28"/>
      <x:c r="N21" s="28"/>
      <x:c r="O21" s="28"/>
      <x:c r="P21" s="28"/>
      <x:c r="Q21" s="28"/>
      <x:c r="R21" s="28"/>
      <x:c r="S21" s="28"/>
      <x:c r="T21" s="28"/>
    </x:row>
    <x:row r="22">
      <x:c r="A22" s="28" t="str">
        <x:v>z8cfdjw</x:v>
      </x:c>
      <x:c r="B22" s="28" t="str">
        <x:v>Campus Crossings Raleigh</x:v>
      </x:c>
      <x:c r="C22" s="28" t="str">
        <x:v>$685 - $870</x:v>
      </x:c>
      <x:c r="D22" s="29" t="n">
        <x:v>685</x:v>
      </x:c>
      <x:c r="E22" s="29" t="n">
        <x:v>870</x:v>
      </x:c>
      <x:c r="F22" s="29" t="n">
        <x:v>777.5</x:v>
      </x:c>
      <x:c r="G22" s="30" t="n">
        <x:v>2.420198986</x:v>
      </x:c>
      <x:c r="H22" s="28" t="str">
        <x:v>&gt;1–3 mi</x:v>
      </x:c>
      <x:c r="I22" s="28" t="str">
        <x:v>Yes</x:v>
      </x:c>
      <x:c r="J22" s="28" t="str">
        <x:v>No</x:v>
      </x:c>
      <x:c r="K22" s="28" t="str">
        <x:v>Yes</x:v>
      </x:c>
      <x:c r="L22" s="28" t="str">
        <x:v>https://offcampus.dasa.ncsu.edu/housing/property/campus-crossings-raleigh/z8cfdjw</x:v>
      </x:c>
      <x:c r="M22" s="28"/>
      <x:c r="N22" s="28"/>
      <x:c r="O22" s="28"/>
      <x:c r="P22" s="28"/>
      <x:c r="Q22" s="28"/>
      <x:c r="R22" s="28"/>
      <x:c r="S22" s="28"/>
      <x:c r="T22" s="28"/>
    </x:row>
    <x:row r="23">
      <x:c r="A23" s="28" t="str">
        <x:v>ocp6mp93ms</x:v>
      </x:c>
      <x:c r="B23" s="28" t="str">
        <x:v>Newly Renovated - All Girls Unit Room with Private Bathroom</x:v>
      </x:c>
      <x:c r="C23" s="28" t="str">
        <x:v>$645</x:v>
      </x:c>
      <x:c r="D23" s="29" t="n">
        <x:v>645</x:v>
      </x:c>
      <x:c r="E23" s="29" t="n">
        <x:v>645</x:v>
      </x:c>
      <x:c r="F23" s="29" t="n">
        <x:v>645</x:v>
      </x:c>
      <x:c r="G23" s="30" t="n">
        <x:v>2.193838767</x:v>
      </x:c>
      <x:c r="H23" s="28" t="str">
        <x:v>&gt;1–3 mi</x:v>
      </x:c>
      <x:c r="I23" s="28" t="str">
        <x:v>Yes</x:v>
      </x:c>
      <x:c r="J23" s="28" t="str">
        <x:v>No</x:v>
      </x:c>
      <x:c r="K23" s="28" t="str">
        <x:v>Yes</x:v>
      </x:c>
      <x:c r="L23" s="28" t="str">
        <x:v>https://offcampus.dasa.ncsu.edu/housing/property/newly-renovated-all-girls-unit-room-with-private-bathroom/ocp6mp93ms</x:v>
      </x:c>
      <x:c r="M23" s="28"/>
      <x:c r="N23" s="28"/>
      <x:c r="O23" s="28"/>
      <x:c r="P23" s="28"/>
      <x:c r="Q23" s="28"/>
      <x:c r="R23" s="28"/>
      <x:c r="S23" s="28"/>
      <x:c r="T23" s="28"/>
    </x:row>
    <x:row r="24">
      <x:c r="A24" s="28" t="str">
        <x:v>75medjw</x:v>
      </x:c>
      <x:c r="B24" s="28" t="str">
        <x:v>Brickside</x:v>
      </x:c>
      <x:c r="C24" s="28" t="str">
        <x:v>$999 - $1,825</x:v>
      </x:c>
      <x:c r="D24" s="29" t="n">
        <x:v>999</x:v>
      </x:c>
      <x:c r="E24" s="29" t="n">
        <x:v>1825</x:v>
      </x:c>
      <x:c r="F24" s="29" t="n">
        <x:v>1412</x:v>
      </x:c>
      <x:c r="G24" s="30" t="n">
        <x:v>0.907876187</x:v>
      </x:c>
      <x:c r="H24" s="28" t="str">
        <x:v>0–1 mi</x:v>
      </x:c>
      <x:c r="I24" s="28" t="str">
        <x:v>No</x:v>
      </x:c>
      <x:c r="J24" s="28" t="str">
        <x:v>No</x:v>
      </x:c>
      <x:c r="K24" s="28" t="str">
        <x:v>No</x:v>
      </x:c>
      <x:c r="L24" s="28" t="str">
        <x:v>https://offcampus.dasa.ncsu.edu/housing/property/brickside/75medjw</x:v>
      </x:c>
      <x:c r="M24" s="28"/>
      <x:c r="N24" s="28"/>
      <x:c r="O24" s="28"/>
      <x:c r="P24" s="28"/>
      <x:c r="Q24" s="28"/>
      <x:c r="R24" s="28"/>
      <x:c r="S24" s="28"/>
      <x:c r="T24" s="28"/>
    </x:row>
    <x:row r="25">
      <x:c r="A25" s="28" t="str">
        <x:v>ocp6wsb4yt</x:v>
      </x:c>
      <x:c r="B25" s="28" t="str">
        <x:v>We have 1 bedroom open In a luxury 5 bed 5 full bath house 1/1/27-6/30/27</x:v>
      </x:c>
      <x:c r="C25" s="28" t="str">
        <x:v>$1,200</x:v>
      </x:c>
      <x:c r="D25" s="29" t="n">
        <x:v>1200</x:v>
      </x:c>
      <x:c r="E25" s="29" t="n">
        <x:v>1200</x:v>
      </x:c>
      <x:c r="F25" s="29" t="n">
        <x:v>1200</x:v>
      </x:c>
      <x:c r="G25" s="30" t="n">
        <x:v>1.634704383</x:v>
      </x:c>
      <x:c r="H25" s="28" t="str">
        <x:v>&gt;1–3 mi</x:v>
      </x:c>
      <x:c r="I25" s="28" t="str">
        <x:v>No</x:v>
      </x:c>
      <x:c r="J25" s="28" t="str">
        <x:v>No</x:v>
      </x:c>
      <x:c r="K25" s="28" t="str">
        <x:v>No</x:v>
      </x:c>
      <x:c r="L25" s="28" t="str">
        <x:v>https://offcampus.dasa.ncsu.edu/housing/property/we-have-1-bedroom-open-in-a-luxury-5-bed-5-full-bath-house-1-1-27-6-30-27/ocp6wsb4yt</x:v>
      </x:c>
      <x:c r="M25" s="28"/>
      <x:c r="N25" s="28"/>
      <x:c r="O25" s="28"/>
      <x:c r="P25" s="28"/>
      <x:c r="Q25" s="28"/>
      <x:c r="R25" s="28"/>
      <x:c r="S25" s="28"/>
      <x:c r="T25" s="28"/>
    </x:row>
    <x:row r="26">
      <x:c r="A26" s="28" t="str">
        <x:v>5x5ph7m</x:v>
      </x:c>
      <x:c r="B26" s="28" t="str">
        <x:v>Redpoint Raleigh</x:v>
      </x:c>
      <x:c r="C26" s="28" t="str">
        <x:v>$899 - $995</x:v>
      </x:c>
      <x:c r="D26" s="29" t="n">
        <x:v>899</x:v>
      </x:c>
      <x:c r="E26" s="29" t="n">
        <x:v>995</x:v>
      </x:c>
      <x:c r="F26" s="29" t="n">
        <x:v>947</x:v>
      </x:c>
      <x:c r="G26" s="30" t="n">
        <x:v>2.69627335</x:v>
      </x:c>
      <x:c r="H26" s="28" t="str">
        <x:v>&gt;1–3 mi</x:v>
      </x:c>
      <x:c r="I26" s="28" t="str">
        <x:v>Yes</x:v>
      </x:c>
      <x:c r="J26" s="28" t="str">
        <x:v>No</x:v>
      </x:c>
      <x:c r="K26" s="28" t="str">
        <x:v>Yes</x:v>
      </x:c>
      <x:c r="L26" s="28" t="str">
        <x:v>https://offcampus.dasa.ncsu.edu/housing/property/redpoint-raleigh/5x5ph7m</x:v>
      </x:c>
      <x:c r="M26" s="28"/>
      <x:c r="N26" s="28"/>
      <x:c r="O26" s="28"/>
      <x:c r="P26" s="28"/>
      <x:c r="Q26" s="28"/>
      <x:c r="R26" s="28"/>
      <x:c r="S26" s="28"/>
      <x:c r="T26" s="28"/>
    </x:row>
    <x:row r="27">
      <x:c r="A27" s="28" t="str">
        <x:v>syvz9l4</x:v>
      </x:c>
      <x:c r="B27" s="28" t="str">
        <x:v>The Wilde</x:v>
      </x:c>
      <x:c r="C27" s="28" t="str">
        <x:v>$599 - $920</x:v>
      </x:c>
      <x:c r="D27" s="29" t="n">
        <x:v>599</x:v>
      </x:c>
      <x:c r="E27" s="29" t="n">
        <x:v>920</x:v>
      </x:c>
      <x:c r="F27" s="29" t="n">
        <x:v>759.5</x:v>
      </x:c>
      <x:c r="G27" s="30" t="n">
        <x:v>2.029406075</x:v>
      </x:c>
      <x:c r="H27" s="28" t="str">
        <x:v>&gt;1–3 mi</x:v>
      </x:c>
      <x:c r="I27" s="28" t="str">
        <x:v>No</x:v>
      </x:c>
      <x:c r="J27" s="28" t="str">
        <x:v>No</x:v>
      </x:c>
      <x:c r="K27" s="28" t="str">
        <x:v>No</x:v>
      </x:c>
      <x:c r="L27" s="28" t="str">
        <x:v>https://offcampus.dasa.ncsu.edu/housing/property/the-wilde/syvz9l4</x:v>
      </x:c>
      <x:c r="M27" s="28"/>
      <x:c r="N27" s="28"/>
      <x:c r="O27" s="28"/>
      <x:c r="P27" s="28"/>
      <x:c r="Q27" s="28"/>
      <x:c r="R27" s="28"/>
      <x:c r="S27" s="28"/>
      <x:c r="T27" s="28"/>
    </x:row>
    <x:row r="28">
      <x:c r="A28" s="28" t="str">
        <x:v>ocph8n0fc0</x:v>
      </x:c>
      <x:c r="B28" s="28" t="str">
        <x:v>Affordable Student Housing 1 Block from Campus on Wolf Line</x:v>
      </x:c>
      <x:c r="C28" s="28" t="str">
        <x:v>$640</x:v>
      </x:c>
      <x:c r="D28" s="29" t="n">
        <x:v>640</x:v>
      </x:c>
      <x:c r="E28" s="29" t="n">
        <x:v>640</x:v>
      </x:c>
      <x:c r="F28" s="29" t="n">
        <x:v>640</x:v>
      </x:c>
      <x:c r="G28" s="30" t="n">
        <x:v>0.443404653</x:v>
      </x:c>
      <x:c r="H28" s="28" t="str">
        <x:v>0–1 mi</x:v>
      </x:c>
      <x:c r="I28" s="28" t="str">
        <x:v>No</x:v>
      </x:c>
      <x:c r="J28" s="28" t="str">
        <x:v>No</x:v>
      </x:c>
      <x:c r="K28" s="28" t="str">
        <x:v>No</x:v>
      </x:c>
      <x:c r="L28" s="28" t="str">
        <x:v>https://offcampus.dasa.ncsu.edu/housing/property/affordable-student-housing-1-block-from-campus-on-wolf-line/ocph8n0fc0</x:v>
      </x:c>
      <x:c r="M28" s="28"/>
      <x:c r="N28" s="28"/>
      <x:c r="O28" s="28"/>
      <x:c r="P28" s="28"/>
      <x:c r="Q28" s="28"/>
      <x:c r="R28" s="28"/>
      <x:c r="S28" s="28"/>
      <x:c r="T28" s="28"/>
    </x:row>
    <x:row r="29">
      <x:c r="A29" s="28" t="str">
        <x:v>ocpx3vt61n</x:v>
      </x:c>
      <x:c r="B29" s="28" t="str">
        <x:v>FURNISHED NCSU STUDENT HOUSING – TOWNHOME ROOM RENTAL WITH PRIVATE BATHROOM ($850/room)</x:v>
      </x:c>
      <x:c r="C29" s="28" t="str">
        <x:v>$850</x:v>
      </x:c>
      <x:c r="D29" s="29" t="n">
        <x:v>850</x:v>
      </x:c>
      <x:c r="E29" s="29" t="n">
        <x:v>850</x:v>
      </x:c>
      <x:c r="F29" s="29" t="n">
        <x:v>850</x:v>
      </x:c>
      <x:c r="G29" s="30" t="n">
        <x:v>2.435520931</x:v>
      </x:c>
      <x:c r="H29" s="28" t="str">
        <x:v>&gt;1–3 mi</x:v>
      </x:c>
      <x:c r="I29" s="28" t="str">
        <x:v>No</x:v>
      </x:c>
      <x:c r="J29" s="28" t="str">
        <x:v>No</x:v>
      </x:c>
      <x:c r="K29" s="28" t="str">
        <x:v>No</x:v>
      </x:c>
      <x:c r="L29" s="28" t="str">
        <x:v>https://offcampus.dasa.ncsu.edu/housing/property/furnished-ncsu-student-housing-townhome-room-rental-with-private-bathroom-850-room/ocpx3vt61n</x:v>
      </x:c>
      <x:c r="M29" s="28"/>
      <x:c r="N29" s="28"/>
      <x:c r="O29" s="28"/>
      <x:c r="P29" s="28"/>
      <x:c r="Q29" s="28"/>
      <x:c r="R29" s="28"/>
      <x:c r="S29" s="28"/>
      <x:c r="T29" s="28"/>
    </x:row>
    <x:row r="30">
      <x:c r="A30" s="28" t="str">
        <x:v>ocpwwwe8yh</x:v>
      </x:c>
      <x:c r="B30" s="28" t="str">
        <x:v>FURNISHED TOWNHOME RENTAL – 10 Mins to NCSU - 3 Bedroom - starting $750 per room</x:v>
      </x:c>
      <x:c r="C30" s="28" t="str">
        <x:v>$750</x:v>
      </x:c>
      <x:c r="D30" s="29" t="n">
        <x:v>750</x:v>
      </x:c>
      <x:c r="E30" s="29" t="n">
        <x:v>750</x:v>
      </x:c>
      <x:c r="F30" s="29" t="n">
        <x:v>750</x:v>
      </x:c>
      <x:c r="G30" s="30" t="n">
        <x:v>4.072730365</x:v>
      </x:c>
      <x:c r="H30" s="28" t="str">
        <x:v>&gt;3–5 mi</x:v>
      </x:c>
      <x:c r="I30" s="28" t="str">
        <x:v>No</x:v>
      </x:c>
      <x:c r="J30" s="28" t="str">
        <x:v>No</x:v>
      </x:c>
      <x:c r="K30" s="28" t="str">
        <x:v>No</x:v>
      </x:c>
      <x:c r="L30" s="28" t="str">
        <x:v>https://offcampus.dasa.ncsu.edu/housing/property/furnished-townhome-rental-10-mins-to-ncsu-3-bedroom-starting-750-per-room/ocpwwwe8yh</x:v>
      </x:c>
      <x:c r="M30" s="28"/>
      <x:c r="N30" s="28"/>
      <x:c r="O30" s="28"/>
      <x:c r="P30" s="28"/>
      <x:c r="Q30" s="28"/>
      <x:c r="R30" s="28"/>
      <x:c r="S30" s="28"/>
      <x:c r="T30" s="28"/>
    </x:row>
    <x:row r="31">
      <x:c r="A31" s="28" t="str">
        <x:v>5je4q3n</x:v>
      </x:c>
      <x:c r="B31" s="28" t="str">
        <x:v>Signature 1505</x:v>
      </x:c>
      <x:c r="C31" s="28" t="str">
        <x:v>$650 - $1,305</x:v>
      </x:c>
      <x:c r="D31" s="29" t="n">
        <x:v>650</x:v>
      </x:c>
      <x:c r="E31" s="29" t="n">
        <x:v>1305</x:v>
      </x:c>
      <x:c r="F31" s="29" t="n">
        <x:v>977.5</x:v>
      </x:c>
      <x:c r="G31" s="30" t="n">
        <x:v>1.33957903</x:v>
      </x:c>
      <x:c r="H31" s="28" t="str">
        <x:v>&gt;1–3 mi</x:v>
      </x:c>
      <x:c r="I31" s="28" t="str">
        <x:v>No</x:v>
      </x:c>
      <x:c r="J31" s="28" t="str">
        <x:v>No</x:v>
      </x:c>
      <x:c r="K31" s="28" t="str">
        <x:v>No</x:v>
      </x:c>
      <x:c r="L31" s="28" t="str">
        <x:v>https://offcampus.dasa.ncsu.edu/housing/property/signature-1505/5je4q3n</x:v>
      </x:c>
      <x:c r="M31" s="28"/>
      <x:c r="N31" s="28"/>
      <x:c r="O31" s="28"/>
      <x:c r="P31" s="28"/>
      <x:c r="Q31" s="28"/>
      <x:c r="R31" s="28"/>
      <x:c r="S31" s="28"/>
      <x:c r="T31" s="28"/>
    </x:row>
    <x:row r="32">
      <x:c r="A32" s="28" t="str">
        <x:v>h2l8mh2</x:v>
      </x:c>
      <x:c r="B32" s="28" t="str">
        <x:v>Redfield Villages</x:v>
      </x:c>
      <x:c r="C32" s="28" t="str">
        <x:v>$799 - $899</x:v>
      </x:c>
      <x:c r="D32" s="29" t="n">
        <x:v>799</x:v>
      </x:c>
      <x:c r="E32" s="29" t="n">
        <x:v>899</x:v>
      </x:c>
      <x:c r="F32" s="29" t="n">
        <x:v>849</x:v>
      </x:c>
      <x:c r="G32" s="30" t="n">
        <x:v>0.562960879</x:v>
      </x:c>
      <x:c r="H32" s="28" t="str">
        <x:v>0–1 mi</x:v>
      </x:c>
      <x:c r="I32" s="28" t="str">
        <x:v>No</x:v>
      </x:c>
      <x:c r="J32" s="28" t="str">
        <x:v>No</x:v>
      </x:c>
      <x:c r="K32" s="28" t="str">
        <x:v>No</x:v>
      </x:c>
      <x:c r="L32" s="28" t="str">
        <x:v>https://offcampus.dasa.ncsu.edu/housing/property/redfield-villages/h2l8mh2</x:v>
      </x:c>
      <x:c r="M32" s="28"/>
      <x:c r="N32" s="28"/>
      <x:c r="O32" s="28"/>
      <x:c r="P32" s="28"/>
      <x:c r="Q32" s="28"/>
      <x:c r="R32" s="28"/>
      <x:c r="S32" s="28"/>
      <x:c r="T32" s="28"/>
    </x:row>
    <x:row r="33">
      <x:c r="A33" s="28" t="str">
        <x:v>ocpszex2v4</x:v>
      </x:c>
      <x:c r="B33" s="28" t="str">
        <x:v>Spacious bedroom with private bath in 2BR townhome – 5 minutes to NC State</x:v>
      </x:c>
      <x:c r="C33" s="28" t="str">
        <x:v>$800</x:v>
      </x:c>
      <x:c r="D33" s="29" t="n">
        <x:v>800</x:v>
      </x:c>
      <x:c r="E33" s="29" t="n">
        <x:v>800</x:v>
      </x:c>
      <x:c r="F33" s="29" t="n">
        <x:v>800</x:v>
      </x:c>
      <x:c r="G33" s="30" t="n">
        <x:v>0.541658593</x:v>
      </x:c>
      <x:c r="H33" s="28" t="str">
        <x:v>0–1 mi</x:v>
      </x:c>
      <x:c r="I33" s="28" t="str">
        <x:v>No</x:v>
      </x:c>
      <x:c r="J33" s="28" t="str">
        <x:v>No</x:v>
      </x:c>
      <x:c r="K33" s="28" t="str">
        <x:v>No</x:v>
      </x:c>
      <x:c r="L33" s="28" t="str">
        <x:v>https://offcampus.dasa.ncsu.edu/housing/property/spacious-bedroom-with-private-bathroom-in-2BR-townhome/ocpszex2v4</x:v>
      </x:c>
      <x:c r="M33" s="28"/>
      <x:c r="N33" s="28"/>
      <x:c r="O33" s="28"/>
      <x:c r="P33" s="28"/>
      <x:c r="Q33" s="28"/>
      <x:c r="R33" s="28"/>
      <x:c r="S33" s="28"/>
      <x:c r="T33" s="28"/>
    </x:row>
    <x:row r="34">
      <x:c r="A34" s="28" t="str">
        <x:v>jjs8f07</x:v>
      </x:c>
      <x:c r="B34" s="28" t="str">
        <x:v>Village Green Student Housing</x:v>
      </x:c>
      <x:c r="C34" s="28" t="str">
        <x:v>$649 - $839</x:v>
      </x:c>
      <x:c r="D34" s="29" t="n">
        <x:v>649</x:v>
      </x:c>
      <x:c r="E34" s="29" t="n">
        <x:v>839</x:v>
      </x:c>
      <x:c r="F34" s="29" t="n">
        <x:v>744</x:v>
      </x:c>
      <x:c r="G34" s="30" t="n">
        <x:v>1.932509975</x:v>
      </x:c>
      <x:c r="H34" s="28" t="str">
        <x:v>&gt;1–3 mi</x:v>
      </x:c>
      <x:c r="I34" s="28" t="str">
        <x:v>Yes</x:v>
      </x:c>
      <x:c r="J34" s="28" t="str">
        <x:v>No</x:v>
      </x:c>
      <x:c r="K34" s="28" t="str">
        <x:v>Yes</x:v>
      </x:c>
      <x:c r="L34" s="28" t="str">
        <x:v>https://offcampus.dasa.ncsu.edu/housing/property/village-green-student-housing/jjs8f07</x:v>
      </x:c>
      <x:c r="M34" s="28"/>
      <x:c r="N34" s="28"/>
      <x:c r="O34" s="28"/>
      <x:c r="P34" s="28"/>
      <x:c r="Q34" s="28"/>
      <x:c r="R34" s="28"/>
      <x:c r="S34" s="28"/>
      <x:c r="T34" s="28"/>
    </x:row>
    <x:row r="35">
      <x:c r="A35" s="28" t="str">
        <x:v>0pm7tt3</x:v>
      </x:c>
      <x:c r="B35" s="28" t="str">
        <x:v>Campus West at Tryon</x:v>
      </x:c>
      <x:c r="C35" s="28" t="str">
        <x:v>$699</x:v>
      </x:c>
      <x:c r="D35" s="29" t="n">
        <x:v>699</x:v>
      </x:c>
      <x:c r="E35" s="29" t="n">
        <x:v>699</x:v>
      </x:c>
      <x:c r="F35" s="29" t="n">
        <x:v>699</x:v>
      </x:c>
      <x:c r="G35" s="30" t="n">
        <x:v>2.874120418</x:v>
      </x:c>
      <x:c r="H35" s="28" t="str">
        <x:v>&gt;1–3 mi</x:v>
      </x:c>
      <x:c r="I35" s="28" t="str">
        <x:v>No</x:v>
      </x:c>
      <x:c r="J35" s="28" t="str">
        <x:v>No</x:v>
      </x:c>
      <x:c r="K35" s="28" t="str">
        <x:v>No</x:v>
      </x:c>
      <x:c r="L35" s="28" t="str">
        <x:v>https://offcampus.dasa.ncsu.edu/housing/property/campus-west-at-tryon/0pm7tt3</x:v>
      </x:c>
      <x:c r="M35" s="28"/>
      <x:c r="N35" s="28"/>
      <x:c r="O35" s="28"/>
      <x:c r="P35" s="28"/>
      <x:c r="Q35" s="28"/>
      <x:c r="R35" s="28"/>
      <x:c r="S35" s="28"/>
      <x:c r="T35" s="28"/>
    </x:row>
    <x:row r="36">
      <x:c r="A36" s="28" t="str">
        <x:v>ocpbhbkvy9</x:v>
      </x:c>
      <x:c r="B36" s="28" t="str">
        <x:v>Voyager House</x:v>
      </x:c>
      <x:c r="C36" s="28" t="str">
        <x:v>$800</x:v>
      </x:c>
      <x:c r="D36" s="29" t="n">
        <x:v>800</x:v>
      </x:c>
      <x:c r="E36" s="29" t="n">
        <x:v>800</x:v>
      </x:c>
      <x:c r="F36" s="29" t="n">
        <x:v>800</x:v>
      </x:c>
      <x:c r="G36" s="30" t="n">
        <x:v>1.884049975</x:v>
      </x:c>
      <x:c r="H36" s="28" t="str">
        <x:v>&gt;1–3 mi</x:v>
      </x:c>
      <x:c r="I36" s="28" t="str">
        <x:v>Yes</x:v>
      </x:c>
      <x:c r="J36" s="28" t="str">
        <x:v>No</x:v>
      </x:c>
      <x:c r="K36" s="28" t="str">
        <x:v>Yes</x:v>
      </x:c>
      <x:c r="L36" s="28" t="str">
        <x:v>https://offcampus.dasa.ncsu.edu/housing/property/voyager-house/ocpbhbkvy9</x:v>
      </x:c>
      <x:c r="M36" s="28"/>
      <x:c r="N36" s="28"/>
      <x:c r="O36" s="28"/>
      <x:c r="P36" s="28"/>
      <x:c r="Q36" s="28"/>
      <x:c r="R36" s="28"/>
      <x:c r="S36" s="28"/>
      <x:c r="T36" s="28"/>
    </x:row>
    <x:row r="37">
      <x:c r="A37" s="28" t="str">
        <x:v>e13mz5m</x:v>
      </x:c>
      <x:c r="B37" s="28" t="str">
        <x:v>University Suites Student Housing</x:v>
      </x:c>
      <x:c r="C37" s="28" t="str">
        <x:v>$699 - $799</x:v>
      </x:c>
      <x:c r="D37" s="29" t="n">
        <x:v>699</x:v>
      </x:c>
      <x:c r="E37" s="29" t="n">
        <x:v>799</x:v>
      </x:c>
      <x:c r="F37" s="29" t="n">
        <x:v>749</x:v>
      </x:c>
      <x:c r="G37" s="30" t="n">
        <x:v>2.29213488</x:v>
      </x:c>
      <x:c r="H37" s="28" t="str">
        <x:v>&gt;1–3 mi</x:v>
      </x:c>
      <x:c r="I37" s="28" t="str">
        <x:v>Yes</x:v>
      </x:c>
      <x:c r="J37" s="28" t="str">
        <x:v>No</x:v>
      </x:c>
      <x:c r="K37" s="28" t="str">
        <x:v>Yes</x:v>
      </x:c>
      <x:c r="L37" s="28" t="str">
        <x:v>https://offcampus.dasa.ncsu.edu/housing/property/university-suites-student-housing/e13mz5m</x:v>
      </x:c>
      <x:c r="M37" s="28"/>
      <x:c r="N37" s="28"/>
      <x:c r="O37" s="28"/>
      <x:c r="P37" s="28"/>
      <x:c r="Q37" s="28"/>
      <x:c r="R37" s="28"/>
      <x:c r="S37" s="28"/>
      <x:c r="T37" s="28"/>
    </x:row>
    <x:row r="38">
      <x:c r="A38" s="28" t="str">
        <x:v>ocpepvxvln</x:v>
      </x:c>
      <x:c r="B38" s="28" t="str">
        <x:v>Village Green Student Living</x:v>
      </x:c>
      <x:c r="C38" s="28" t="str">
        <x:v>$831</x:v>
      </x:c>
      <x:c r="D38" s="29" t="n">
        <x:v>831</x:v>
      </x:c>
      <x:c r="E38" s="29" t="n">
        <x:v>831</x:v>
      </x:c>
      <x:c r="F38" s="29" t="n">
        <x:v>831</x:v>
      </x:c>
      <x:c r="G38" s="30" t="n">
        <x:v>1.815869405</x:v>
      </x:c>
      <x:c r="H38" s="28" t="str">
        <x:v>&gt;1–3 mi</x:v>
      </x:c>
      <x:c r="I38" s="28" t="str">
        <x:v>Yes</x:v>
      </x:c>
      <x:c r="J38" s="28" t="str">
        <x:v>Yes</x:v>
      </x:c>
      <x:c r="K38" s="28" t="str">
        <x:v>No</x:v>
      </x:c>
      <x:c r="L38" s="28" t="str">
        <x:v>https://offcampus.dasa.ncsu.edu/housing/property/village-green-student-living/ocpepvxvln</x:v>
      </x:c>
      <x:c r="M38" s="28"/>
      <x:c r="N38" s="28"/>
      <x:c r="O38" s="28"/>
      <x:c r="P38" s="28"/>
      <x:c r="Q38" s="28"/>
      <x:c r="R38" s="28"/>
      <x:c r="S38" s="28"/>
      <x:c r="T38" s="28"/>
    </x:row>
    <x:row r="39">
      <x:c r="A39" s="28" t="str">
        <x:v>ocpgxr290w</x:v>
      </x:c>
      <x:c r="B39" s="28" t="str">
        <x:v>Spacious Forest Park Two-Room Suite + Private Bath - Walk to Campus (Includes Utilities)</x:v>
      </x:c>
      <x:c r="C39" s="28" t="str">
        <x:v>$1,225</x:v>
      </x:c>
      <x:c r="D39" s="29" t="n">
        <x:v>1225</x:v>
      </x:c>
      <x:c r="E39" s="29" t="n">
        <x:v>1225</x:v>
      </x:c>
      <x:c r="F39" s="29" t="n">
        <x:v>1225</x:v>
      </x:c>
      <x:c r="G39" s="30" t="n">
        <x:v>1.604060636</x:v>
      </x:c>
      <x:c r="H39" s="28" t="str">
        <x:v>&gt;1–3 mi</x:v>
      </x:c>
      <x:c r="I39" s="28" t="str">
        <x:v>Yes</x:v>
      </x:c>
      <x:c r="J39" s="28" t="str">
        <x:v>No</x:v>
      </x:c>
      <x:c r="K39" s="28" t="str">
        <x:v>No</x:v>
      </x:c>
      <x:c r="L39" s="28" t="str">
        <x:v>https://offcampus.dasa.ncsu.edu/housing/property/spacious-forest-park-two-room-suite-private-bath-walk-to-campus-includes-utilities/ocpgxr290w</x:v>
      </x:c>
      <x:c r="M39" s="28"/>
      <x:c r="N39" s="28"/>
      <x:c r="O39" s="28"/>
      <x:c r="P39" s="28"/>
      <x:c r="Q39" s="28"/>
      <x:c r="R39" s="28"/>
      <x:c r="S39" s="28"/>
      <x:c r="T39" s="28"/>
    </x:row>
    <x:row r="40">
      <x:c r="A40" s="28" t="str">
        <x:v>ocpsd8dpj6</x:v>
      </x:c>
      <x:c r="B40" s="28" t="str">
        <x:v>Spacious En-suite with private patio and garage parking in Crescent Ridge Townhome Community</x:v>
      </x:c>
      <x:c r="C40" s="28" t="str">
        <x:v>$900</x:v>
      </x:c>
      <x:c r="D40" s="29" t="n">
        <x:v>900</x:v>
      </x:c>
      <x:c r="E40" s="29" t="n">
        <x:v>900</x:v>
      </x:c>
      <x:c r="F40" s="29" t="n">
        <x:v>900</x:v>
      </x:c>
      <x:c r="G40" s="30" t="n">
        <x:v>2.725369678</x:v>
      </x:c>
      <x:c r="H40" s="28" t="str">
        <x:v>&gt;1–3 mi</x:v>
      </x:c>
      <x:c r="I40" s="28" t="str">
        <x:v>Yes</x:v>
      </x:c>
      <x:c r="J40" s="28" t="str">
        <x:v>No</x:v>
      </x:c>
      <x:c r="K40" s="28" t="str">
        <x:v>Yes</x:v>
      </x:c>
      <x:c r="L40" s="28" t="str">
        <x:v>https://offcampus.dasa.ncsu.edu/housing/property/spacious-en-suite-with-private-patio-and-garage-parking-in-crescent-ridge-townhome-community/ocpsd8dpj6</x:v>
      </x:c>
      <x:c r="M40" s="28"/>
      <x:c r="N40" s="28"/>
      <x:c r="O40" s="28"/>
      <x:c r="P40" s="28"/>
      <x:c r="Q40" s="28"/>
      <x:c r="R40" s="28"/>
      <x:c r="S40" s="28"/>
      <x:c r="T40" s="28"/>
    </x:row>
    <x:row r="41">
      <x:c r="A41" s="28" t="str">
        <x:v>xcp87fm</x:v>
      </x:c>
      <x:c r="B41" s="28" t="str">
        <x:v>Tryon Flats Apartments</x:v>
      </x:c>
      <x:c r="C41" s="28" t="str">
        <x:v>$750</x:v>
      </x:c>
      <x:c r="D41" s="29" t="n">
        <x:v>750</x:v>
      </x:c>
      <x:c r="E41" s="29" t="n">
        <x:v>750</x:v>
      </x:c>
      <x:c r="F41" s="29" t="n">
        <x:v>750</x:v>
      </x:c>
      <x:c r="G41" s="30" t="n">
        <x:v>2.49322786</x:v>
      </x:c>
      <x:c r="H41" s="28" t="str">
        <x:v>&gt;1–3 mi</x:v>
      </x:c>
      <x:c r="I41" s="28" t="str">
        <x:v>No</x:v>
      </x:c>
      <x:c r="J41" s="28" t="str">
        <x:v>No</x:v>
      </x:c>
      <x:c r="K41" s="28" t="str">
        <x:v>No</x:v>
      </x:c>
      <x:c r="L41" s="28" t="str">
        <x:v>https://offcampus.dasa.ncsu.edu/housing/property/tryon-flats-apartments/xcp87fm</x:v>
      </x:c>
      <x:c r="M41" s="28"/>
      <x:c r="N41" s="28"/>
      <x:c r="O41" s="28"/>
      <x:c r="P41" s="28"/>
      <x:c r="Q41" s="28"/>
      <x:c r="R41" s="28"/>
      <x:c r="S41" s="28"/>
      <x:c r="T41" s="28"/>
    </x:row>
    <x:row r="42">
      <x:c r="A42" s="28" t="str">
        <x:v>ocpsq86tm4</x:v>
      </x:c>
      <x:c r="B42" s="28" t="str">
        <x:v>4bed 4bath Apartment Near Centennial Campus</x:v>
      </x:c>
      <x:c r="C42" s="28" t="str">
        <x:v>$725</x:v>
      </x:c>
      <x:c r="D42" s="29" t="n">
        <x:v>725</x:v>
      </x:c>
      <x:c r="E42" s="29" t="n">
        <x:v>725</x:v>
      </x:c>
      <x:c r="F42" s="29" t="n">
        <x:v>725</x:v>
      </x:c>
      <x:c r="G42" s="30" t="n">
        <x:v>1.590319281</x:v>
      </x:c>
      <x:c r="H42" s="28" t="str">
        <x:v>&gt;1–3 mi</x:v>
      </x:c>
      <x:c r="I42" s="28" t="str">
        <x:v>No</x:v>
      </x:c>
      <x:c r="J42" s="28" t="str">
        <x:v>No</x:v>
      </x:c>
      <x:c r="K42" s="28" t="str">
        <x:v>No</x:v>
      </x:c>
      <x:c r="L42" s="28" t="str">
        <x:v>https://offcampus.dasa.ncsu.edu/housing/property/4bed-4bath-apartment-near-centennial-campus/ocpsq86tm4</x:v>
      </x:c>
      <x:c r="M42" s="28"/>
      <x:c r="N42" s="28"/>
      <x:c r="O42" s="28"/>
      <x:c r="P42" s="28"/>
      <x:c r="Q42" s="28"/>
      <x:c r="R42" s="28"/>
      <x:c r="S42" s="28"/>
      <x:c r="T42" s="28"/>
    </x:row>
    <x:row r="43">
      <x:c r="A43" s="28" t="str">
        <x:v>ocp2gxtxqc</x:v>
      </x:c>
      <x:c r="B43" s="28" t="str">
        <x:v>The Station</x:v>
      </x:c>
      <x:c r="C43" s="28" t="str">
        <x:v>$969</x:v>
      </x:c>
      <x:c r="D43" s="29" t="n">
        <x:v>969</x:v>
      </x:c>
      <x:c r="E43" s="29" t="n">
        <x:v>969</x:v>
      </x:c>
      <x:c r="F43" s="29" t="n">
        <x:v>969</x:v>
      </x:c>
      <x:c r="G43" s="30" t="n">
        <x:v>2.152909218</x:v>
      </x:c>
      <x:c r="H43" s="28" t="str">
        <x:v>&gt;1–3 mi</x:v>
      </x:c>
      <x:c r="I43" s="28" t="str">
        <x:v>Yes</x:v>
      </x:c>
      <x:c r="J43" s="28" t="str">
        <x:v>No</x:v>
      </x:c>
      <x:c r="K43" s="28" t="str">
        <x:v>No</x:v>
      </x:c>
      <x:c r="L43" s="28" t="str">
        <x:v>https://offcampus.dasa.ncsu.edu/housing/property/the-station/ocp2gxtxqc</x:v>
      </x:c>
      <x:c r="M43" s="28"/>
      <x:c r="N43" s="28"/>
      <x:c r="O43" s="28"/>
      <x:c r="P43" s="28"/>
      <x:c r="Q43" s="28"/>
      <x:c r="R43" s="28"/>
      <x:c r="S43" s="28"/>
      <x:c r="T43" s="28"/>
    </x:row>
    <x:row r="44">
      <x:c r="A44" s="28" t="str">
        <x:v>pxc3rhs</x:v>
      </x:c>
      <x:c r="B44" s="28" t="str">
        <x:v>Room in Condo on Crab Orchard Dr</x:v>
      </x:c>
      <x:c r="C44" s="28" t="str">
        <x:v>$675</x:v>
      </x:c>
      <x:c r="D44" s="29" t="n">
        <x:v>675</x:v>
      </x:c>
      <x:c r="E44" s="29" t="n">
        <x:v>675</x:v>
      </x:c>
      <x:c r="F44" s="29" t="n">
        <x:v>675</x:v>
      </x:c>
      <x:c r="G44" s="30" t="n">
        <x:v>1.660043019</x:v>
      </x:c>
      <x:c r="H44" s="28" t="str">
        <x:v>&gt;1–3 mi</x:v>
      </x:c>
      <x:c r="I44" s="28" t="str">
        <x:v>No</x:v>
      </x:c>
      <x:c r="J44" s="28" t="str">
        <x:v>No</x:v>
      </x:c>
      <x:c r="K44" s="28" t="str">
        <x:v>No</x:v>
      </x:c>
      <x:c r="L44" s="28" t="str">
        <x:v>https://offcampus.dasa.ncsu.edu/housing/property/room-in-condo-on-crab-orchard-dr/pxc3rhs</x:v>
      </x:c>
      <x:c r="M44" s="28"/>
      <x:c r="N44" s="28"/>
      <x:c r="O44" s="28"/>
      <x:c r="P44" s="28"/>
      <x:c r="Q44" s="28"/>
      <x:c r="R44" s="28"/>
      <x:c r="S44" s="28"/>
      <x:c r="T44" s="28"/>
    </x:row>
    <x:row r="45">
      <x:c r="A45" s="28" t="str">
        <x:v>ocppbmmgnt</x:v>
      </x:c>
      <x:c r="B45" s="28" t="str">
        <x:v>5 bedroom townhome available near NC State</x:v>
      </x:c>
      <x:c r="C45" s="28" t="str">
        <x:v>$650</x:v>
      </x:c>
      <x:c r="D45" s="29" t="n">
        <x:v>650</x:v>
      </x:c>
      <x:c r="E45" s="29" t="n">
        <x:v>650</x:v>
      </x:c>
      <x:c r="F45" s="29" t="n">
        <x:v>650</x:v>
      </x:c>
      <x:c r="G45" s="30" t="n">
        <x:v>2.375235559</x:v>
      </x:c>
      <x:c r="H45" s="28" t="str">
        <x:v>&gt;1–3 mi</x:v>
      </x:c>
      <x:c r="I45" s="28" t="str">
        <x:v>Yes</x:v>
      </x:c>
      <x:c r="J45" s="28" t="str">
        <x:v>No</x:v>
      </x:c>
      <x:c r="K45" s="28" t="str">
        <x:v>No</x:v>
      </x:c>
      <x:c r="L45" s="28" t="str">
        <x:v>https://offcampus.dasa.ncsu.edu/housing/property/5-bedroom-townhome-available-near-nc-state/ocppbmmgnt</x:v>
      </x:c>
      <x:c r="M45" s="28"/>
      <x:c r="N45" s="28"/>
      <x:c r="O45" s="28"/>
      <x:c r="P45" s="28"/>
      <x:c r="Q45" s="28"/>
      <x:c r="R45" s="28"/>
      <x:c r="S45" s="28"/>
      <x:c r="T45" s="28"/>
    </x:row>
    <x:row r="46">
      <x:c r="A46" s="28" t="str">
        <x:v>ocp176ghy4</x:v>
      </x:c>
      <x:c r="B46" s="28" t="str">
        <x:v>Campus Crossings Raleigh</x:v>
      </x:c>
      <x:c r="C46" s="28" t="str">
        <x:v>$865</x:v>
      </x:c>
      <x:c r="D46" s="29" t="n">
        <x:v>865</x:v>
      </x:c>
      <x:c r="E46" s="29" t="n">
        <x:v>865</x:v>
      </x:c>
      <x:c r="F46" s="29" t="n">
        <x:v>865</x:v>
      </x:c>
      <x:c r="G46" s="30" t="n">
        <x:v>2.375099776</x:v>
      </x:c>
      <x:c r="H46" s="28" t="str">
        <x:v>&gt;1–3 mi</x:v>
      </x:c>
      <x:c r="I46" s="28" t="str">
        <x:v>No</x:v>
      </x:c>
      <x:c r="J46" s="28" t="str">
        <x:v>No</x:v>
      </x:c>
      <x:c r="K46" s="28" t="str">
        <x:v>No</x:v>
      </x:c>
      <x:c r="L46" s="28" t="str">
        <x:v>https://offcampus.dasa.ncsu.edu/housing/property/campus-crossings-raleigh/ocp176ghy4</x:v>
      </x:c>
      <x:c r="M46" s="28"/>
      <x:c r="N46" s="28"/>
      <x:c r="O46" s="28"/>
      <x:c r="P46" s="28"/>
      <x:c r="Q46" s="28"/>
      <x:c r="R46" s="28"/>
      <x:c r="S46" s="28"/>
      <x:c r="T46" s="28"/>
    </x:row>
    <x:row r="47">
      <x:c r="A47" s="51" t="str">
        <x:v>ocpx51p4tm</x:v>
      </x:c>
      <x:c r="B47" s="51" t="str">
        <x:v>Condo near NCSU</x:v>
      </x:c>
      <x:c r="C47" s="51" t="str">
        <x:v>$800</x:v>
      </x:c>
      <x:c r="D47" s="56" t="n">
        <x:v>800</x:v>
      </x:c>
      <x:c r="E47" s="56" t="n">
        <x:v>800</x:v>
      </x:c>
      <x:c r="F47" s="56" t="n">
        <x:v>800</x:v>
      </x:c>
      <x:c r="G47" s="57" t="n">
        <x:v>1.625432361</x:v>
      </x:c>
      <x:c r="H47" s="51" t="str">
        <x:v>&gt;1–3 mi</x:v>
      </x:c>
      <x:c r="I47" s="51" t="str">
        <x:v>Yes</x:v>
      </x:c>
      <x:c r="J47" s="51" t="str">
        <x:v>No</x:v>
      </x:c>
      <x:c r="K47" s="51" t="str">
        <x:v>Yes</x:v>
      </x:c>
      <x:c r="L47" s="51" t="str">
        <x:v>https://offcampus.dasa.ncsu.edu/housing/property/condo-near-ncsu/ocpx51p4tm</x:v>
      </x:c>
      <x:c r="M47" s="51"/>
      <x:c r="N47" s="51"/>
      <x:c r="O47" s="51"/>
      <x:c r="P47" s="51"/>
      <x:c r="Q47" s="51"/>
      <x:c r="R47" s="51"/>
      <x:c r="S47" s="51"/>
      <x:c r="T47" s="51"/>
    </x:row>
    <x:row r="48">
      <x:c r="A48" s="51" t="str">
        <x:v>x5wd0zn</x:v>
      </x:c>
      <x:c r="B48" s="51" t="str">
        <x:v>Room in House on Pineland Cir</x:v>
      </x:c>
      <x:c r="C48" s="51" t="str">
        <x:v>$700</x:v>
      </x:c>
      <x:c r="D48" s="56" t="n">
        <x:v>700</x:v>
      </x:c>
      <x:c r="E48" s="56" t="n">
        <x:v>700</x:v>
      </x:c>
      <x:c r="F48" s="56" t="n">
        <x:v>700</x:v>
      </x:c>
      <x:c r="G48" s="57" t="n">
        <x:v>1.688144235</x:v>
      </x:c>
      <x:c r="H48" s="51" t="str">
        <x:v>&gt;1–3 mi</x:v>
      </x:c>
      <x:c r="I48" s="51" t="str">
        <x:v>No</x:v>
      </x:c>
      <x:c r="J48" s="51" t="str">
        <x:v>No</x:v>
      </x:c>
      <x:c r="K48" s="51" t="str">
        <x:v>No</x:v>
      </x:c>
      <x:c r="L48" s="51" t="str">
        <x:v>https://offcampus.dasa.ncsu.edu/housing/property/room-in-house-on-pineland-cir/x5wd0zn</x:v>
      </x:c>
      <x:c r="M48" s="51"/>
      <x:c r="N48" s="51"/>
      <x:c r="O48" s="51"/>
      <x:c r="P48" s="51"/>
      <x:c r="Q48" s="51"/>
      <x:c r="R48" s="51"/>
      <x:c r="S48" s="51"/>
      <x:c r="T48" s="51"/>
    </x:row>
    <x:row r="49">
      <x:c r="A49" s="51" t="str">
        <x:v>ocphdtdgk2</x:v>
      </x:c>
      <x:c r="B49" s="51" t="str">
        <x:v>105 Friendly Drive! Furnished Room Rentals with Utilities!</x:v>
      </x:c>
      <x:c r="C49" s="51" t="str">
        <x:v>$775 - $1,050</x:v>
      </x:c>
      <x:c r="D49" s="56" t="n">
        <x:v>775</x:v>
      </x:c>
      <x:c r="E49" s="56" t="n">
        <x:v>1050</x:v>
      </x:c>
      <x:c r="F49" s="56" t="n">
        <x:v>912.5</x:v>
      </x:c>
      <x:c r="G49" s="57" t="n">
        <x:v>0.734302196</x:v>
      </x:c>
      <x:c r="H49" s="51" t="str">
        <x:v>0–1 mi</x:v>
      </x:c>
      <x:c r="I49" s="51" t="str">
        <x:v>Yes</x:v>
      </x:c>
      <x:c r="J49" s="51" t="str">
        <x:v>No</x:v>
      </x:c>
      <x:c r="K49" s="51" t="str">
        <x:v>Yes</x:v>
      </x:c>
      <x:c r="L49" s="51" t="str">
        <x:v>https://offcampus.dasa.ncsu.edu/housing/property/105-friendly-drive-furnished-room-rentals-with-utilities/ocphdtdgk2</x:v>
      </x:c>
      <x:c r="M49" s="51"/>
      <x:c r="N49" s="51"/>
      <x:c r="O49" s="51"/>
      <x:c r="P49" s="51"/>
      <x:c r="Q49" s="51"/>
      <x:c r="R49" s="51"/>
      <x:c r="S49" s="51"/>
      <x:c r="T49" s="51"/>
    </x:row>
    <x:row r="50">
      <x:c r="A50" s="51" t="str">
        <x:v>ocp4lh373j</x:v>
      </x:c>
      <x:c r="B50" s="51" t="str">
        <x:v>Hub Raleigh – 4x2 Lease Takeover, Available Now</x:v>
      </x:c>
      <x:c r="C50" s="51" t="str">
        <x:v>$1,199</x:v>
      </x:c>
      <x:c r="D50" s="56" t="n">
        <x:v>1199</x:v>
      </x:c>
      <x:c r="E50" s="56" t="n">
        <x:v>1199</x:v>
      </x:c>
      <x:c r="F50" s="56" t="n">
        <x:v>1199</x:v>
      </x:c>
      <x:c r="G50" s="57" t="n">
        <x:v>1.249575868</x:v>
      </x:c>
      <x:c r="H50" s="51" t="str">
        <x:v>&gt;1–3 mi</x:v>
      </x:c>
      <x:c r="I50" s="51" t="str">
        <x:v>Yes</x:v>
      </x:c>
      <x:c r="J50" s="51" t="str">
        <x:v>No</x:v>
      </x:c>
      <x:c r="K50" s="51" t="str">
        <x:v>No</x:v>
      </x:c>
      <x:c r="L50" s="51" t="str">
        <x:v>https://offcampus.dasa.ncsu.edu/housing/property/hub-raleigh-4x2-lease-takeover-available-now/ocp4lh373j</x:v>
      </x:c>
      <x:c r="M50" s="51"/>
      <x:c r="N50" s="51"/>
      <x:c r="O50" s="51"/>
      <x:c r="P50" s="51"/>
      <x:c r="Q50" s="51"/>
      <x:c r="R50" s="51"/>
      <x:c r="S50" s="51"/>
      <x:c r="T50" s="51"/>
    </x:row>
    <x:row r="51">
      <x:c r="A51" s="28" t="str">
        <x:v>ocp5cx5drn</x:v>
      </x:c>
      <x:c r="B51" s="28" t="str">
        <x:v>Valentine Commons</x:v>
      </x:c>
      <x:c r="C51" s="28" t="str">
        <x:v>$1,000 - $1,300</x:v>
      </x:c>
      <x:c r="D51" s="29" t="n">
        <x:v>1000</x:v>
      </x:c>
      <x:c r="E51" s="29" t="n">
        <x:v>1300</x:v>
      </x:c>
      <x:c r="F51" s="29" t="n">
        <x:v>1150</x:v>
      </x:c>
      <x:c r="G51" s="30" t="n">
        <x:v>0.636006642</x:v>
      </x:c>
      <x:c r="H51" s="28" t="str">
        <x:v>0–1 mi</x:v>
      </x:c>
      <x:c r="I51" s="28" t="str">
        <x:v>No</x:v>
      </x:c>
      <x:c r="J51" s="28" t="str">
        <x:v>No</x:v>
      </x:c>
      <x:c r="K51" s="28" t="str">
        <x:v>No</x:v>
      </x:c>
      <x:c r="L51" s="28" t="str">
        <x:v>https://offcampus.dasa.ncsu.edu/housing/property/valentine-commons/ocp5cx5drn</x:v>
      </x:c>
    </x:row>
    <x:row r="52">
      <x:c r="A52" s="28" t="str">
        <x:v>se736e5</x:v>
      </x:c>
      <x:c r="B52" s="28" t="str">
        <x:v>College Inn</x:v>
      </x:c>
      <x:c r="C52" s="28" t="str">
        <x:v>$859 - $1,275</x:v>
      </x:c>
      <x:c r="D52" s="29" t="n">
        <x:v>859</x:v>
      </x:c>
      <x:c r="E52" s="29" t="n">
        <x:v>1275</x:v>
      </x:c>
      <x:c r="F52" s="29" t="n">
        <x:v>1067</x:v>
      </x:c>
      <x:c r="G52" s="30" t="n">
        <x:v>0.246460777</x:v>
      </x:c>
      <x:c r="H52" s="28" t="str">
        <x:v>0–1 mi</x:v>
      </x:c>
      <x:c r="I52" s="28" t="str">
        <x:v>Yes</x:v>
      </x:c>
      <x:c r="J52" s="28" t="str">
        <x:v>No</x:v>
      </x:c>
      <x:c r="K52" s="28" t="str">
        <x:v>Yes</x:v>
      </x:c>
      <x:c r="L52" s="28" t="str">
        <x:v>https://offcampus.dasa.ncsu.edu/housing/property/college-inn/se736e5</x:v>
      </x:c>
    </x:row>
    <x:row r="53">
      <x:c r="A53" s="28" t="str">
        <x:v>ocp1ddchy6</x:v>
      </x:c>
      <x:c r="B53" s="28" t="str">
        <x:v>Village Green</x:v>
      </x:c>
      <x:c r="C53" s="28" t="str">
        <x:v>$930</x:v>
      </x:c>
      <x:c r="D53" s="29" t="n">
        <x:v>930</x:v>
      </x:c>
      <x:c r="E53" s="29" t="n">
        <x:v>930</x:v>
      </x:c>
      <x:c r="F53" s="29" t="n">
        <x:v>930</x:v>
      </x:c>
      <x:c r="G53" s="30" t="n">
        <x:v>1.966488918</x:v>
      </x:c>
      <x:c r="H53" s="28" t="str">
        <x:v>&gt;1–3 mi</x:v>
      </x:c>
      <x:c r="I53" s="28" t="str">
        <x:v>No</x:v>
      </x:c>
      <x:c r="J53" s="28" t="str">
        <x:v>No</x:v>
      </x:c>
      <x:c r="K53" s="28" t="str">
        <x:v>No</x:v>
      </x:c>
      <x:c r="L53" s="28" t="str">
        <x:v>https://offcampus.dasa.ncsu.edu/housing/property/village-green/ocp1ddchy6</x:v>
      </x:c>
    </x:row>
    <x:row r="54">
      <x:c r="A54" s="28" t="str">
        <x:v>kf77vv8</x:v>
      </x:c>
      <x:c r="B54" s="28" t="str">
        <x:v>Room in Condo on Collegiate Cir</x:v>
      </x:c>
      <x:c r="C54" s="28" t="str">
        <x:v>$675</x:v>
      </x:c>
      <x:c r="D54" s="29" t="n">
        <x:v>675</x:v>
      </x:c>
      <x:c r="E54" s="29" t="n">
        <x:v>675</x:v>
      </x:c>
      <x:c r="F54" s="29" t="n">
        <x:v>675</x:v>
      </x:c>
      <x:c r="G54" s="30" t="n">
        <x:v>1.630531465</x:v>
      </x:c>
      <x:c r="H54" s="28" t="str">
        <x:v>&gt;1–3 mi</x:v>
      </x:c>
      <x:c r="I54" s="28" t="str">
        <x:v>No</x:v>
      </x:c>
      <x:c r="J54" s="28" t="str">
        <x:v>No</x:v>
      </x:c>
      <x:c r="K54" s="28" t="str">
        <x:v>No</x:v>
      </x:c>
      <x:c r="L54" s="28" t="str">
        <x:v>https://offcampus.dasa.ncsu.edu/housing/property/room-in-condo-on-collegiate-cir/kf77vv8</x:v>
      </x:c>
    </x:row>
    <x:row r="55">
      <x:c r="A55" s="28" t="str">
        <x:v>ocphycq162</x:v>
      </x:c>
      <x:c r="B55" s="28" t="str">
        <x:v>Cozy house 10 min walk to campus</x:v>
      </x:c>
      <x:c r="C55" s="28" t="str">
        <x:v>$1,500</x:v>
      </x:c>
      <x:c r="D55" s="29" t="n">
        <x:v>1500</x:v>
      </x:c>
      <x:c r="E55" s="29" t="n">
        <x:v>1500</x:v>
      </x:c>
      <x:c r="F55" s="29" t="n">
        <x:v>1500</x:v>
      </x:c>
      <x:c r="G55" s="30" t="n">
        <x:v>1.258758084</x:v>
      </x:c>
      <x:c r="H55" s="28" t="str">
        <x:v>&gt;1–3 mi</x:v>
      </x:c>
      <x:c r="I55" s="28" t="str">
        <x:v>No</x:v>
      </x:c>
      <x:c r="J55" s="28" t="str">
        <x:v>No</x:v>
      </x:c>
      <x:c r="K55" s="28" t="str">
        <x:v>No</x:v>
      </x:c>
      <x:c r="L55" s="28" t="str">
        <x:v>https://offcampus.dasa.ncsu.edu/housing/property/cozy-house-10-min-walk-to-campus/ocphycq162</x:v>
      </x:c>
    </x:row>
    <x:row r="56">
      <x:c r="A56" s="28" t="str">
        <x:v>hz5leg1</x:v>
      </x:c>
      <x:c r="B56" s="28" t="str">
        <x:v>Room in Townhome on Ivory Run Way</x:v>
      </x:c>
      <x:c r="C56" s="28" t="str">
        <x:v>$690</x:v>
      </x:c>
      <x:c r="D56" s="29" t="n">
        <x:v>690</x:v>
      </x:c>
      <x:c r="E56" s="29" t="n">
        <x:v>690</x:v>
      </x:c>
      <x:c r="F56" s="29" t="n">
        <x:v>690</x:v>
      </x:c>
      <x:c r="G56" s="30" t="n">
        <x:v>2.412561562</x:v>
      </x:c>
      <x:c r="H56" s="28" t="str">
        <x:v>&gt;1–3 mi</x:v>
      </x:c>
      <x:c r="I56" s="28" t="str">
        <x:v>No</x:v>
      </x:c>
      <x:c r="J56" s="28" t="str">
        <x:v>No</x:v>
      </x:c>
      <x:c r="K56" s="28" t="str">
        <x:v>No</x:v>
      </x:c>
      <x:c r="L56" s="28" t="str">
        <x:v>https://offcampus.dasa.ncsu.edu/housing/property/room-in-townhome-on-ivory-run-way/hz5leg1</x:v>
      </x:c>
    </x:row>
    <x:row r="57">
      <x:c r="A57" s="28" t="str">
        <x:v>ocpszqbd35</x:v>
      </x:c>
      <x:c r="B57" s="28" t="str">
        <x:v>Signature 1505 4X4 Apartment</x:v>
      </x:c>
      <x:c r="C57" s="28" t="str">
        <x:v>$1,230</x:v>
      </x:c>
      <x:c r="D57" s="29" t="n">
        <x:v>1230</x:v>
      </x:c>
      <x:c r="E57" s="29" t="n">
        <x:v>1230</x:v>
      </x:c>
      <x:c r="F57" s="29" t="n">
        <x:v>1230</x:v>
      </x:c>
      <x:c r="G57" s="30" t="n">
        <x:v>1.309798751</x:v>
      </x:c>
      <x:c r="H57" s="28" t="str">
        <x:v>&gt;1–3 mi</x:v>
      </x:c>
      <x:c r="I57" s="28" t="str">
        <x:v>No</x:v>
      </x:c>
      <x:c r="J57" s="28" t="str">
        <x:v>No</x:v>
      </x:c>
      <x:c r="K57" s="28" t="str">
        <x:v>No</x:v>
      </x:c>
      <x:c r="L57" s="28" t="str">
        <x:v>https://offcampus.dasa.ncsu.edu/housing/property/signature-1505-4x4-apartment/ocpszqbd35</x:v>
      </x:c>
    </x:row>
    <x:row r="58">
      <x:c r="A58" s="28" t="str">
        <x:v>jkg82q6</x:v>
      </x:c>
      <x:c r="B58" s="28" t="str">
        <x:v>Room in House on Joyner Pl</x:v>
      </x:c>
      <x:c r="C58" s="28" t="str">
        <x:v>$700</x:v>
      </x:c>
      <x:c r="D58" s="29" t="n">
        <x:v>700</x:v>
      </x:c>
      <x:c r="E58" s="29" t="n">
        <x:v>700</x:v>
      </x:c>
      <x:c r="F58" s="29" t="n">
        <x:v>700</x:v>
      </x:c>
      <x:c r="G58" s="30" t="n">
        <x:v>4.516524137</x:v>
      </x:c>
      <x:c r="H58" s="28" t="str">
        <x:v>&gt;3–5 mi</x:v>
      </x:c>
      <x:c r="I58" s="28" t="str">
        <x:v>No</x:v>
      </x:c>
      <x:c r="J58" s="28" t="str">
        <x:v>No</x:v>
      </x:c>
      <x:c r="K58" s="28" t="str">
        <x:v>No</x:v>
      </x:c>
      <x:c r="L58" s="28" t="str">
        <x:v>https://offcampus.dasa.ncsu.edu/housing/property/room-in-house-on-joyner-pl/jkg82q6</x:v>
      </x:c>
    </x:row>
    <x:row r="59">
      <x:c r="A59" s="28" t="str">
        <x:v>ocp0gblz91</x:v>
      </x:c>
      <x:c r="B59" s="28" t="str">
        <x:v>Great value in beautiful SW Raleigh</x:v>
      </x:c>
      <x:c r="C59" s="28" t="str">
        <x:v>$850</x:v>
      </x:c>
      <x:c r="D59" s="29" t="n">
        <x:v>850</x:v>
      </x:c>
      <x:c r="E59" s="29" t="n">
        <x:v>850</x:v>
      </x:c>
      <x:c r="F59" s="29" t="n">
        <x:v>850</x:v>
      </x:c>
      <x:c r="G59" s="30" t="n">
        <x:v>3.494769248</x:v>
      </x:c>
      <x:c r="H59" s="28" t="str">
        <x:v>&gt;3–5 mi</x:v>
      </x:c>
      <x:c r="I59" s="28" t="str">
        <x:v>Yes</x:v>
      </x:c>
      <x:c r="J59" s="28" t="str">
        <x:v>Yes</x:v>
      </x:c>
      <x:c r="K59" s="28" t="str">
        <x:v>Yes</x:v>
      </x:c>
      <x:c r="L59" s="28" t="str">
        <x:v>https://offcampus.dasa.ncsu.edu/housing/property/great-value-in-beautiful-sw-raleigh/ocp0gblz91</x:v>
      </x:c>
    </x:row>
    <x:row r="60">
      <x:c r="A60" s="28" t="str">
        <x:v>ocpteqgjg8</x:v>
      </x:c>
      <x:c r="B60" s="28" t="str">
        <x:v>Huge modern studio suite- private entrance and beth- near NCSU</x:v>
      </x:c>
      <x:c r="C60" s="28" t="str">
        <x:v>$1,150</x:v>
      </x:c>
      <x:c r="D60" s="29" t="n">
        <x:v>1150</x:v>
      </x:c>
      <x:c r="E60" s="29" t="n">
        <x:v>1150</x:v>
      </x:c>
      <x:c r="F60" s="29" t="n">
        <x:v>1150</x:v>
      </x:c>
      <x:c r="G60" s="30" t="n">
        <x:v>2.969896437</x:v>
      </x:c>
      <x:c r="H60" s="28" t="str">
        <x:v>&gt;1–3 mi</x:v>
      </x:c>
      <x:c r="I60" s="28" t="str">
        <x:v>Yes</x:v>
      </x:c>
      <x:c r="J60" s="28" t="str">
        <x:v>No</x:v>
      </x:c>
      <x:c r="K60" s="28" t="str">
        <x:v>Yes</x:v>
      </x:c>
      <x:c r="L60" s="28" t="str">
        <x:v>https://offcampus.dasa.ncsu.edu/housing/property/huge-modern-studio-suite-private-entrance-and-beth-near-ncsu/ocpteqgjg8</x:v>
      </x:c>
    </x:row>
    <x:row r="61">
      <x:c r="A61" s="28" t="str">
        <x:v>33f756e</x:v>
      </x:c>
      <x:c r="B61" s="28" t="str">
        <x:v>University Village at 2505</x:v>
      </x:c>
      <x:c r="C61" s="28" t="str">
        <x:v>$799</x:v>
      </x:c>
      <x:c r="D61" s="29" t="n">
        <x:v>799</x:v>
      </x:c>
      <x:c r="E61" s="29" t="n">
        <x:v>799</x:v>
      </x:c>
      <x:c r="F61" s="29" t="n">
        <x:v>799</x:v>
      </x:c>
      <x:c r="G61" s="30" t="n">
        <x:v>2.237819087</x:v>
      </x:c>
      <x:c r="H61" s="28" t="str">
        <x:v>&gt;1–3 mi</x:v>
      </x:c>
      <x:c r="I61" s="28" t="str">
        <x:v>No</x:v>
      </x:c>
      <x:c r="J61" s="28" t="str">
        <x:v>No</x:v>
      </x:c>
      <x:c r="K61" s="28" t="str">
        <x:v>No</x:v>
      </x:c>
      <x:c r="L61" s="28" t="str">
        <x:v>https://offcampus.dasa.ncsu.edu/housing/property/university-village-at-2505/33f756e</x:v>
      </x:c>
    </x:row>
    <x:row r="62">
      <x:c r="A62" s="28" t="str">
        <x:v>zfenc9w</x:v>
      </x:c>
      <x:c r="B62" s="28" t="str">
        <x:v>Room in Condo on Wolfmill Dr</x:v>
      </x:c>
      <x:c r="C62" s="28" t="str">
        <x:v>$720</x:v>
      </x:c>
      <x:c r="D62" s="29" t="n">
        <x:v>720</x:v>
      </x:c>
      <x:c r="E62" s="29" t="n">
        <x:v>720</x:v>
      </x:c>
      <x:c r="F62" s="29" t="n">
        <x:v>720</x:v>
      </x:c>
      <x:c r="G62" s="30" t="n">
        <x:v>2.240360936</x:v>
      </x:c>
      <x:c r="H62" s="28" t="str">
        <x:v>&gt;1–3 mi</x:v>
      </x:c>
      <x:c r="I62" s="28" t="str">
        <x:v>No</x:v>
      </x:c>
      <x:c r="J62" s="28" t="str">
        <x:v>No</x:v>
      </x:c>
      <x:c r="K62" s="28" t="str">
        <x:v>No</x:v>
      </x:c>
      <x:c r="L62" s="28" t="str">
        <x:v>https://offcampus.dasa.ncsu.edu/housing/property/room-in-condo-on-wolfmill-dr/zfenc9w</x:v>
      </x:c>
    </x:row>
    <x:row r="63">
      <x:c r="A63" s="28" t="str">
        <x:v>49jmmdh</x:v>
      </x:c>
      <x:c r="B63" s="28" t="str">
        <x:v>Room in Townhome on Haskell Dr</x:v>
      </x:c>
      <x:c r="C63" s="28" t="str">
        <x:v>$563</x:v>
      </x:c>
      <x:c r="D63" s="29" t="n">
        <x:v>563</x:v>
      </x:c>
      <x:c r="E63" s="29" t="n">
        <x:v>563</x:v>
      </x:c>
      <x:c r="F63" s="29" t="n">
        <x:v>563</x:v>
      </x:c>
      <x:c r="G63" s="30" t="n">
        <x:v>4.067310842</x:v>
      </x:c>
      <x:c r="H63" s="28" t="str">
        <x:v>&gt;3–5 mi</x:v>
      </x:c>
      <x:c r="I63" s="28" t="str">
        <x:v>No</x:v>
      </x:c>
      <x:c r="J63" s="28" t="str">
        <x:v>No</x:v>
      </x:c>
      <x:c r="K63" s="28" t="str">
        <x:v>No</x:v>
      </x:c>
      <x:c r="L63" s="28" t="str">
        <x:v>https://offcampus.dasa.ncsu.edu/housing/property/room-in-townhome-on-haskell-dr/49jmmdh</x:v>
      </x:c>
    </x:row>
    <x:row r="64">
      <x:c r="A64" s="28" t="str">
        <x:v>bq6wzsb</x:v>
      </x:c>
      <x:c r="B64" s="28" t="str">
        <x:v>Room in House on Quartz Ct</x:v>
      </x:c>
      <x:c r="C64" s="28" t="str">
        <x:v>$685</x:v>
      </x:c>
      <x:c r="D64" s="29" t="n">
        <x:v>685</x:v>
      </x:c>
      <x:c r="E64" s="29" t="n">
        <x:v>685</x:v>
      </x:c>
      <x:c r="F64" s="29" t="n">
        <x:v>685</x:v>
      </x:c>
      <x:c r="G64" s="30" t="n">
        <x:v>4.730619122</x:v>
      </x:c>
      <x:c r="H64" s="28" t="str">
        <x:v>&gt;3–5 mi</x:v>
      </x:c>
      <x:c r="I64" s="28" t="str">
        <x:v>No</x:v>
      </x:c>
      <x:c r="J64" s="28" t="str">
        <x:v>No</x:v>
      </x:c>
      <x:c r="K64" s="28" t="str">
        <x:v>No</x:v>
      </x:c>
      <x:c r="L64" s="28" t="str">
        <x:v>https://offcampus.dasa.ncsu.edu/housing/property/room-in-house-on-quartz-ct/bq6wzsb</x:v>
      </x:c>
    </x:row>
    <x:row r="65">
      <x:c r="A65" s="28" t="str">
        <x:v>ocp4t7wmxk</x:v>
      </x:c>
      <x:c r="B65" s="28" t="str">
        <x:v>University Oaks</x:v>
      </x:c>
      <x:c r="C65" s="28" t="str">
        <x:v>$725</x:v>
      </x:c>
      <x:c r="D65" s="29" t="n">
        <x:v>725</x:v>
      </x:c>
      <x:c r="E65" s="29" t="n">
        <x:v>725</x:v>
      </x:c>
      <x:c r="F65" s="29" t="n">
        <x:v>725</x:v>
      </x:c>
      <x:c r="G65" s="30" t="n">
        <x:v>0.456914407</x:v>
      </x:c>
      <x:c r="H65" s="28" t="str">
        <x:v>0–1 mi</x:v>
      </x:c>
      <x:c r="I65" s="28" t="str">
        <x:v>Yes</x:v>
      </x:c>
      <x:c r="J65" s="28" t="str">
        <x:v>No</x:v>
      </x:c>
      <x:c r="K65" s="28" t="str">
        <x:v>Yes</x:v>
      </x:c>
      <x:c r="L65" s="28" t="str">
        <x:v>https://offcampus.dasa.ncsu.edu/housing/property/university-oaks/ocp4t7wmxk</x:v>
      </x:c>
    </x:row>
    <x:row r="66">
      <x:c r="A66" s="28" t="str">
        <x:v>ocp90bdzb4</x:v>
      </x:c>
      <x:c r="B66" s="28" t="str">
        <x:v>Brick Bungalow close to Campus</x:v>
      </x:c>
      <x:c r="C66" s="28" t="str">
        <x:v>$1,050</x:v>
      </x:c>
      <x:c r="D66" s="29" t="n">
        <x:v>1050</x:v>
      </x:c>
      <x:c r="E66" s="29" t="n">
        <x:v>1050</x:v>
      </x:c>
      <x:c r="F66" s="29" t="n">
        <x:v>1050</x:v>
      </x:c>
      <x:c r="G66" s="30" t="n">
        <x:v>3.543884361</x:v>
      </x:c>
      <x:c r="H66" s="28" t="str">
        <x:v>&gt;3–5 mi</x:v>
      </x:c>
      <x:c r="I66" s="28" t="str">
        <x:v>No</x:v>
      </x:c>
      <x:c r="J66" s="28" t="str">
        <x:v>No</x:v>
      </x:c>
      <x:c r="K66" s="28" t="str">
        <x:v>No</x:v>
      </x:c>
      <x:c r="L66" s="28" t="str">
        <x:v>https://offcampus.dasa.ncsu.edu/housing/property/brick-bungalow-close-to-campus/ocp90bdzb4</x:v>
      </x:c>
    </x:row>
    <x:row r="67">
      <x:c r="A67" s="28" t="str">
        <x:v>ocpq99qjpx</x:v>
      </x:c>
      <x:c r="B67" s="28" t="str">
        <x:v>Apartment close to NCSU</x:v>
      </x:c>
      <x:c r="C67" s="28" t="str">
        <x:v>$645</x:v>
      </x:c>
      <x:c r="D67" s="29" t="n">
        <x:v>645</x:v>
      </x:c>
      <x:c r="E67" s="29" t="n">
        <x:v>645</x:v>
      </x:c>
      <x:c r="F67" s="29" t="n">
        <x:v>645</x:v>
      </x:c>
      <x:c r="G67" s="30" t="n">
        <x:v>1.653317243</x:v>
      </x:c>
      <x:c r="H67" s="28" t="str">
        <x:v>&gt;1–3 mi</x:v>
      </x:c>
      <x:c r="I67" s="28" t="str">
        <x:v>Yes</x:v>
      </x:c>
      <x:c r="J67" s="28" t="str">
        <x:v>No</x:v>
      </x:c>
      <x:c r="K67" s="28" t="str">
        <x:v>No</x:v>
      </x:c>
      <x:c r="L67" s="28" t="str">
        <x:v>https://offcampus.dasa.ncsu.edu/housing/property/apartment-close-to-ncsu/ocpq99qjpx</x:v>
      </x:c>
    </x:row>
    <x:row r="68">
      <x:c r="A68" s="28" t="str">
        <x:v>ocps6ymwl7</x:v>
      </x:c>
      <x:c r="B68" s="28" t="str">
        <x:v>University Woods</x:v>
      </x:c>
      <x:c r="C68" s="28" t="str">
        <x:v>$600</x:v>
      </x:c>
      <x:c r="D68" s="29" t="n">
        <x:v>600</x:v>
      </x:c>
      <x:c r="E68" s="29" t="n">
        <x:v>600</x:v>
      </x:c>
      <x:c r="F68" s="29" t="n">
        <x:v>600</x:v>
      </x:c>
      <x:c r="G68" s="30" t="n">
        <x:v>2.123645671</x:v>
      </x:c>
      <x:c r="H68" s="28" t="str">
        <x:v>&gt;1–3 mi</x:v>
      </x:c>
      <x:c r="I68" s="28" t="str">
        <x:v>Yes</x:v>
      </x:c>
      <x:c r="J68" s="28" t="str">
        <x:v>No</x:v>
      </x:c>
      <x:c r="K68" s="28" t="str">
        <x:v>No</x:v>
      </x:c>
      <x:c r="L68" s="28" t="str">
        <x:v>https://offcampus.dasa.ncsu.edu/housing/property/university-woods/ocps6ymwl7</x:v>
      </x:c>
    </x:row>
    <x:row r="69">
      <x:c r="A69" s="28" t="str">
        <x:v>9m73sq5</x:v>
      </x:c>
      <x:c r="B69" s="28" t="str">
        <x:v>Room in Townhome on Macedonia Lake Dr</x:v>
      </x:c>
      <x:c r="C69" s="28" t="str">
        <x:v>$800</x:v>
      </x:c>
      <x:c r="D69" s="29" t="n">
        <x:v>800</x:v>
      </x:c>
      <x:c r="E69" s="29" t="n">
        <x:v>800</x:v>
      </x:c>
      <x:c r="F69" s="29" t="n">
        <x:v>800</x:v>
      </x:c>
      <x:c r="G69" s="30" t="n">
        <x:v>4.036728026</x:v>
      </x:c>
      <x:c r="H69" s="28" t="str">
        <x:v>&gt;3–5 mi</x:v>
      </x:c>
      <x:c r="I69" s="28" t="str">
        <x:v>No</x:v>
      </x:c>
      <x:c r="J69" s="28" t="str">
        <x:v>No</x:v>
      </x:c>
      <x:c r="K69" s="28" t="str">
        <x:v>No</x:v>
      </x:c>
      <x:c r="L69" s="28" t="str">
        <x:v>https://offcampus.dasa.ncsu.edu/housing/property/room-in-townhome-on-macedonia-lake-dr/9m73sq5</x:v>
      </x:c>
    </x:row>
    <x:row r="70">
      <x:c r="A70" s="28" t="str">
        <x:v>ocpvgtpebg</x:v>
      </x:c>
      <x:c r="B70" s="28" t="str">
        <x:v>Lake Park Condos- Room Rental with Utilities</x:v>
      </x:c>
      <x:c r="C70" s="28" t="str">
        <x:v>$500 - $600</x:v>
      </x:c>
      <x:c r="D70" s="29" t="n">
        <x:v>500</x:v>
      </x:c>
      <x:c r="E70" s="29" t="n">
        <x:v>600</x:v>
      </x:c>
      <x:c r="F70" s="29" t="n">
        <x:v>550</x:v>
      </x:c>
      <x:c r="G70" s="30" t="n">
        <x:v>1.637356936</x:v>
      </x:c>
      <x:c r="H70" s="28" t="str">
        <x:v>&gt;1–3 mi</x:v>
      </x:c>
      <x:c r="I70" s="28" t="str">
        <x:v>Yes</x:v>
      </x:c>
      <x:c r="J70" s="28" t="str">
        <x:v>No</x:v>
      </x:c>
      <x:c r="K70" s="28" t="str">
        <x:v>No</x:v>
      </x:c>
      <x:c r="L70" s="28" t="str">
        <x:v>https://offcampus.dasa.ncsu.edu/housing/property/lake-park-condos-room-rental-with-utilities/ocpvgtpebg</x:v>
      </x:c>
    </x:row>
    <x:row r="71">
      <x:c r="A71" s="28" t="str">
        <x:v>5hme2mn</x:v>
      </x:c>
      <x:c r="B71" s="28" t="str">
        <x:v>The Station Raleigh</x:v>
      </x:c>
      <x:c r="C71" s="28" t="str">
        <x:v>$749 - $1,930</x:v>
      </x:c>
      <x:c r="D71" s="29" t="n">
        <x:v>749</x:v>
      </x:c>
      <x:c r="E71" s="29" t="n">
        <x:v>1930</x:v>
      </x:c>
      <x:c r="F71" s="29" t="n">
        <x:v>1339.5</x:v>
      </x:c>
      <x:c r="G71" s="30" t="n">
        <x:v>2.173712249</x:v>
      </x:c>
      <x:c r="H71" s="28" t="str">
        <x:v>&gt;1–3 mi</x:v>
      </x:c>
      <x:c r="I71" s="28" t="str">
        <x:v>Yes</x:v>
      </x:c>
      <x:c r="J71" s="28" t="str">
        <x:v>No</x:v>
      </x:c>
      <x:c r="K71" s="28" t="str">
        <x:v>Yes</x:v>
      </x:c>
      <x:c r="L71" s="28" t="str">
        <x:v>https://offcampus.dasa.ncsu.edu/housing/property/the-station-raleigh/5hme2mn</x:v>
      </x:c>
    </x:row>
    <x:row r="72">
      <x:c r="A72" s="28" t="str">
        <x:v>lpl9fce</x:v>
      </x:c>
      <x:c r="B72" s="28" t="str">
        <x:v>2850 Sanderford Rd (Raleigh, NC)</x:v>
      </x:c>
      <x:c r="C72" s="28" t="str">
        <x:v>$650</x:v>
      </x:c>
      <x:c r="D72" s="29" t="n">
        <x:v>650</x:v>
      </x:c>
      <x:c r="E72" s="29" t="n">
        <x:v>650</x:v>
      </x:c>
      <x:c r="F72" s="29" t="n">
        <x:v>650</x:v>
      </x:c>
      <x:c r="G72" s="30" t="n">
        <x:v>4.772916888</x:v>
      </x:c>
      <x:c r="H72" s="28" t="str">
        <x:v>&gt;3–5 mi</x:v>
      </x:c>
      <x:c r="I72" s="28" t="str">
        <x:v>Yes</x:v>
      </x:c>
      <x:c r="J72" s="28" t="str">
        <x:v>No</x:v>
      </x:c>
      <x:c r="K72" s="28" t="str">
        <x:v>Yes</x:v>
      </x:c>
      <x:c r="L72" s="28" t="str">
        <x:v>https://offcampus.dasa.ncsu.edu/housing/property/2850-sanderford-rd-raleigh-nc/lpl9fce</x:v>
      </x:c>
    </x:row>
    <x:row r="73">
      <x:c r="A73" s="28" t="str">
        <x:v>ocpd9wnxdk</x:v>
      </x:c>
      <x:c r="B73" s="28" t="str">
        <x:v>$3600 saving on 2*2 Sublet at Stanhope Apartment for NC STATE</x:v>
      </x:c>
      <x:c r="C73" s="28" t="str">
        <x:v>$550</x:v>
      </x:c>
      <x:c r="D73" s="29" t="n">
        <x:v>550</x:v>
      </x:c>
      <x:c r="E73" s="29" t="n">
        <x:v>550</x:v>
      </x:c>
      <x:c r="F73" s="29" t="n">
        <x:v>550</x:v>
      </x:c>
      <x:c r="G73" s="30" t="n">
        <x:v>0.702468111</x:v>
      </x:c>
      <x:c r="H73" s="28" t="str">
        <x:v>0–1 mi</x:v>
      </x:c>
      <x:c r="I73" s="28" t="str">
        <x:v>No</x:v>
      </x:c>
      <x:c r="J73" s="28" t="str">
        <x:v>No</x:v>
      </x:c>
      <x:c r="K73" s="28" t="str">
        <x:v>No</x:v>
      </x:c>
      <x:c r="L73" s="28" t="str">
        <x:v>https://offcampus.dasa.ncsu.edu/housing/property/3600-saving-on-2-2-sublet-at-stanhope-apartment-for-nc-state/ocpd9wnxdk</x:v>
      </x:c>
    </x:row>
    <x:row r="74">
      <x:c r="A74" s="28" t="str">
        <x:v>ocp67ldb5s</x:v>
      </x:c>
      <x:c r="B74" s="28" t="str">
        <x:v>The Wilde</x:v>
      </x:c>
      <x:c r="C74" s="28" t="str">
        <x:v>$860</x:v>
      </x:c>
      <x:c r="D74" s="29" t="n">
        <x:v>860</x:v>
      </x:c>
      <x:c r="E74" s="29" t="n">
        <x:v>860</x:v>
      </x:c>
      <x:c r="F74" s="29" t="n">
        <x:v>860</x:v>
      </x:c>
      <x:c r="G74" s="30" t="n">
        <x:v>2.038270328</x:v>
      </x:c>
      <x:c r="H74" s="28" t="str">
        <x:v>&gt;1–3 mi</x:v>
      </x:c>
      <x:c r="I74" s="28" t="str">
        <x:v>Yes</x:v>
      </x:c>
      <x:c r="J74" s="28" t="str">
        <x:v>Yes</x:v>
      </x:c>
      <x:c r="K74" s="28" t="str">
        <x:v>No</x:v>
      </x:c>
      <x:c r="L74" s="28" t="str">
        <x:v>https://offcampus.dasa.ncsu.edu/housing/property/the-wilde/ocp67ldb5s</x:v>
      </x:c>
    </x:row>
    <x:row r="75">
      <x:c r="A75" s="28" t="str">
        <x:v>ocp0psn632</x:v>
      </x:c>
      <x:c r="B75" s="28" t="str">
        <x:v>An apartments with 3 bed and 3 bath for NC State Students www.ncstudentsliving.com</x:v>
      </x:c>
      <x:c r="C75" s="28" t="str">
        <x:v>$650</x:v>
      </x:c>
      <x:c r="D75" s="29" t="n">
        <x:v>650</x:v>
      </x:c>
      <x:c r="E75" s="29" t="n">
        <x:v>650</x:v>
      </x:c>
      <x:c r="F75" s="29" t="n">
        <x:v>650</x:v>
      </x:c>
      <x:c r="G75" s="30" t="n">
        <x:v>2.262000465</x:v>
      </x:c>
      <x:c r="H75" s="28" t="str">
        <x:v>&gt;1–3 mi</x:v>
      </x:c>
      <x:c r="I75" s="28" t="str">
        <x:v>Yes</x:v>
      </x:c>
      <x:c r="J75" s="28" t="str">
        <x:v>No</x:v>
      </x:c>
      <x:c r="K75" s="28" t="str">
        <x:v>No</x:v>
      </x:c>
      <x:c r="L75" s="28" t="str">
        <x:v>https://offcampus.dasa.ncsu.edu/housing/property/an-apartments-with-3-bed-and-3-bath-for-nc-state-students-www-ncstudentsliving-com/ocp0psn632</x:v>
      </x:c>
    </x:row>
    <x:row r="76">
      <x:c r="A76" s="28" t="str">
        <x:v>ocpk5yz73b</x:v>
      </x:c>
      <x:c r="B76" s="28" t="str">
        <x:v>Stanhope Student Apartments</x:v>
      </x:c>
      <x:c r="C76" s="28" t="str">
        <x:v>$1,300</x:v>
      </x:c>
      <x:c r="D76" s="29" t="n">
        <x:v>1300</x:v>
      </x:c>
      <x:c r="E76" s="29" t="n">
        <x:v>1300</x:v>
      </x:c>
      <x:c r="F76" s="29" t="n">
        <x:v>1300</x:v>
      </x:c>
      <x:c r="G76" s="30" t="n">
        <x:v>0.702468111</x:v>
      </x:c>
      <x:c r="H76" s="28" t="str">
        <x:v>0–1 mi</x:v>
      </x:c>
      <x:c r="I76" s="28" t="str">
        <x:v>No</x:v>
      </x:c>
      <x:c r="J76" s="28" t="str">
        <x:v>No</x:v>
      </x:c>
      <x:c r="K76" s="28" t="str">
        <x:v>No</x:v>
      </x:c>
      <x:c r="L76" s="28" t="str">
        <x:v>https://offcampus.dasa.ncsu.edu/housing/property/stanhope-student-apartments/ocpk5yz73b</x:v>
      </x:c>
    </x:row>
    <x:row r="77">
      <x:c r="A77" s="28" t="str">
        <x:v>ocp5lwrmvq</x:v>
      </x:c>
      <x:c r="B77" s="28" t="str">
        <x:v>Convenient Kaplan Dr property near NCSU buses, park, grocery, with parking space &amp; private bathroom</x:v>
      </x:c>
      <x:c r="C77" s="28" t="str">
        <x:v>$675</x:v>
      </x:c>
      <x:c r="D77" s="29" t="n">
        <x:v>675</x:v>
      </x:c>
      <x:c r="E77" s="29" t="n">
        <x:v>675</x:v>
      </x:c>
      <x:c r="F77" s="29" t="n">
        <x:v>675</x:v>
      </x:c>
      <x:c r="G77" s="30" t="n">
        <x:v>0.716855117</x:v>
      </x:c>
      <x:c r="H77" s="28" t="str">
        <x:v>0–1 mi</x:v>
      </x:c>
      <x:c r="I77" s="28" t="str">
        <x:v>Yes</x:v>
      </x:c>
      <x:c r="J77" s="28" t="str">
        <x:v>No</x:v>
      </x:c>
      <x:c r="K77" s="28" t="str">
        <x:v>Yes</x:v>
      </x:c>
      <x:c r="L77" s="28" t="str">
        <x:v>https://offcampus.dasa.ncsu.edu/housing/property/convenient-kaplan-dr-property-near-ncsu-buses-park-grocery-with-parking-space-and-private-bathroom/ocp5lwrmvq</x:v>
      </x:c>
    </x:row>
    <x:row r="78">
      <x:c r="A78" s="28" t="str">
        <x:v>ocpq292qyw</x:v>
      </x:c>
      <x:c r="B78" s="28" t="str">
        <x:v>1st Month FREE!</x:v>
      </x:c>
      <x:c r="C78" s="28" t="str">
        <x:v>$625</x:v>
      </x:c>
      <x:c r="D78" s="29" t="n">
        <x:v>625</x:v>
      </x:c>
      <x:c r="E78" s="29" t="n">
        <x:v>625</x:v>
      </x:c>
      <x:c r="F78" s="29" t="n">
        <x:v>625</x:v>
      </x:c>
      <x:c r="G78" s="30" t="n">
        <x:v>2.215850713</x:v>
      </x:c>
      <x:c r="H78" s="28" t="str">
        <x:v>&gt;1–3 mi</x:v>
      </x:c>
      <x:c r="I78" s="28" t="str">
        <x:v>No</x:v>
      </x:c>
      <x:c r="J78" s="28" t="str">
        <x:v>No</x:v>
      </x:c>
      <x:c r="K78" s="28" t="str">
        <x:v>No</x:v>
      </x:c>
      <x:c r="L78" s="28" t="str">
        <x:v>https://offcampus.dasa.ncsu.edu/housing/property/1st-month-free/ocpq292qyw</x:v>
      </x:c>
    </x:row>
    <x:row r="79">
      <x:c r="A79" s="28" t="str">
        <x:v>ocpsnmx4w4</x:v>
      </x:c>
      <x:c r="B79" s="28" t="str">
        <x:v>"Avery Close " condos room available across from Centennial Campus NCSU NC State Raleigh</x:v>
      </x:c>
      <x:c r="C79" s="28" t="str">
        <x:v>$750</x:v>
      </x:c>
      <x:c r="D79" s="29" t="n">
        <x:v>750</x:v>
      </x:c>
      <x:c r="E79" s="29" t="n">
        <x:v>750</x:v>
      </x:c>
      <x:c r="F79" s="29" t="n">
        <x:v>750</x:v>
      </x:c>
      <x:c r="G79" s="30" t="n">
        <x:v>0.376048105</x:v>
      </x:c>
      <x:c r="H79" s="28" t="str">
        <x:v>0–1 mi</x:v>
      </x:c>
      <x:c r="I79" s="28" t="str">
        <x:v>No</x:v>
      </x:c>
      <x:c r="J79" s="28" t="str">
        <x:v>No</x:v>
      </x:c>
      <x:c r="K79" s="28" t="str">
        <x:v>No</x:v>
      </x:c>
      <x:c r="L79" s="28" t="str">
        <x:v>https://offcampus.dasa.ncsu.edu/housing/property/avery-close-condos-room-available-across-from-centennial-campus-ncsu-nc-state-raleigh/ocpsnmx4w4</x:v>
      </x:c>
    </x:row>
  </x:sheetData>
  <x:mergeCells>
    <x:mergeCell ref="A1:T1"/>
    <x:mergeCell ref="A2:T3"/>
    <x:mergeCell ref="A1:L1"/>
    <x:mergeCell ref="A2:L3"/>
  </x:mergeCells>
  <x:pageMargins left="0.7" right="0.7" top="0.75" bottom="0.75" header="0.3" footer="0.3"/>
</x:worksheet>
</file>
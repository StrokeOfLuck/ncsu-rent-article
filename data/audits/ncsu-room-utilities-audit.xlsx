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ny utility included (41)" sheetId="1" r:id="rId1"/>
    <sheet name="All utilities stated (8)" sheetId="2" r:id="rId2"/>
  </sheet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"/>
  </numFmts>
  <fonts count="3">
    <font>
      <sz val="10"/>
      <name val="Arial"/>
    </font>
    <font>
      <b/>
      <color rgb="FFFFFFFF"/>
      <sz val="15"/>
      <name val="Arial"/>
    </font>
    <font>
      <b/>
      <color rgb="FF2B2B2B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8B1F2D"/>
        <bgColor indexed="64"/>
      </patternFill>
    </fill>
    <fill>
      <patternFill patternType="solid">
        <fgColor rgb="FFE9E4DB"/>
        <bgColor indexed="64"/>
      </patternFill>
    </fill>
    <fill>
      <patternFill patternType="solid">
        <fgColor rgb="FFF3F0E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>
      <alignment vertical="center"/>
    </xf>
    <xf numFmtId="0" fontId="2" fillId="3" borderId="0" xfId="0">
      <alignment wrapText="1" vertical="center"/>
    </xf>
    <xf numFmtId="164" fontId="0" fillId="0" borderId="0" xfId="0">
      <alignment vertical="top"/>
    </xf>
    <xf numFmtId="0" fontId="0" fillId="0" borderId="0" xfId="0">
      <alignment wrapText="1" vertical="top"/>
    </xf>
    <xf numFmtId="165" fontId="0" fillId="0" borderId="0" xfId="0">
      <alignment vertical="top"/>
    </xf>
    <xf numFmtId="0" fontId="2" fillId="4" borderId="0" xfId="0">
      <alignment wrapText="1" vertical="center"/>
    </xf>
    <xf numFmtId="164" fontId="2" fillId="4" borderId="0" xfId="0">
      <alignment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14" customWidth="1"/>
    <col min="2" max="2" width="34" customWidth="1"/>
    <col min="3" max="3" width="15" customWidth="1"/>
    <col min="4" max="6" width="12" customWidth="1"/>
    <col min="7" max="7" width="12" customWidth="1"/>
    <col min="8" max="8" width="11" customWidth="1"/>
    <col min="9" max="9" width="28" customWidth="1"/>
    <col min="10" max="10" width="26" customWidth="1"/>
    <col min="11" max="11" width="14" customWidth="1"/>
    <col min="12" max="12" width="34" customWidth="1"/>
    <col min="13" max="13" width="48" customWidth="1"/>
    <col min="14" max="14" width="16" customWidth="1"/>
    <col min="15" max="15" width="44" customWidth="1"/>
    <col min="16" max="16" width="42" customWidth="1"/>
    <col min="17" max="17" width="21" customWidth="1"/>
    <col min="18" max="18" width="42" customWidth="1"/>
  </cols>
  <sheetData>
    <row r="1" ht="25" customHeight="1">
      <c r="A1" t="inlineStr" s="1">
        <is>
          <t xml:space="preserve">NC State Room Utilities Audit — At Least One Core Utility Included</t>
        </is>
      </c>
    </row>
    <row r="2" ht="44" customHeight="1">
      <c r="A2" t="inlineStr" s="4">
        <is>
          <t xml:space="preserve">41 of 76 room listings explicitly establish at least one core utility as included through saved portal utility fields, saved listing wording or both. The manual all-utilities flag identifies the eight-row subset whose wording explicitly says all utilities are included/inclusive.</t>
        </is>
      </c>
    </row>
    <row r="5" ht="32" customHeight="1">
      <c r="A5" t="inlineStr" s="2">
        <is>
          <t xml:space="preserve">Listing ID</t>
        </is>
      </c>
      <c r="B5" t="inlineStr" s="2">
        <is>
          <t xml:space="preserve">Listing</t>
        </is>
      </c>
      <c r="C5" t="inlineStr" s="2">
        <is>
          <t xml:space="preserve">Advertised price</t>
        </is>
      </c>
      <c r="D5" t="inlineStr" s="2">
        <is>
          <t xml:space="preserve">Rent low</t>
        </is>
      </c>
      <c r="E5" t="inlineStr" s="2">
        <is>
          <t xml:space="preserve">Rent high</t>
        </is>
      </c>
      <c r="F5" t="inlineStr" s="2">
        <is>
          <t xml:space="preserve">Midpoint</t>
        </is>
      </c>
      <c r="G5" t="inlineStr" s="2">
        <is>
          <t xml:space="preserve">Distance (mi)</t>
        </is>
      </c>
      <c r="H5" t="inlineStr" s="2">
        <is>
          <t xml:space="preserve">Band</t>
        </is>
      </c>
      <c r="I5" t="inlineStr" s="2">
        <is>
          <t xml:space="preserve">Classification basis</t>
        </is>
      </c>
      <c r="J5" t="inlineStr" s="2">
        <is>
          <t xml:space="preserve">Core structured utilities included</t>
        </is>
      </c>
      <c r="K5" t="inlineStr" s="2">
        <is>
          <t xml:space="preserve">All 5 core structured?</t>
        </is>
      </c>
      <c r="L5" t="inlineStr" s="2">
        <is>
          <t xml:space="preserve">Portal utility line items — verbatim</t>
        </is>
      </c>
      <c r="M5" t="inlineStr" s="2">
        <is>
          <t xml:space="preserve">Description utility wording — verbatim</t>
        </is>
      </c>
      <c r="N5" t="inlineStr" s="2">
        <is>
          <t xml:space="preserve">All utilities manual?</t>
        </is>
      </c>
      <c r="O5" t="inlineStr" s="2">
        <is>
          <t xml:space="preserve">Exact all-utilities wording</t>
        </is>
      </c>
      <c r="P5" t="inlineStr" s="2">
        <is>
          <t xml:space="preserve">Manual review note</t>
        </is>
      </c>
      <c r="Q5" t="inlineStr" s="2">
        <is>
          <t xml:space="preserve">Required monthly fees (portal)</t>
        </is>
      </c>
      <c r="R5" t="inlineStr" s="2">
        <is>
          <t xml:space="preserve">Original listing URL</t>
        </is>
      </c>
    </row>
    <row r="6">
      <c r="A6" t="inlineStr" s="4">
        <is>
          <t xml:space="preserve">ocpet5b7hm</t>
        </is>
      </c>
      <c r="B6" t="inlineStr" s="4">
        <is>
          <t xml:space="preserve">Modern/High Ceilings 2bed/2 bath</t>
        </is>
      </c>
      <c r="C6" t="inlineStr" s="4">
        <is>
          <t xml:space="preserve">$1,250</t>
        </is>
      </c>
      <c r="D6" s="3">
        <v>1250</v>
      </c>
      <c r="E6" s="3">
        <v>1250</v>
      </c>
      <c r="F6" s="3">
        <f>AVERAGE(D6:E6)</f>
        <v>1250</v>
      </c>
      <c r="G6" s="5">
        <v>1.0265520051795092</v>
      </c>
      <c r="H6" t="inlineStr" s="4">
        <is>
          <t xml:space="preserve">&gt;1–3 mi</t>
        </is>
      </c>
      <c r="I6" t="inlineStr" s="4">
        <is>
          <t xml:space="preserve">Structured utility fields</t>
        </is>
      </c>
      <c r="J6" t="inlineStr" s="4">
        <is>
          <t xml:space="preserve">Electricity; Gas; Heat; Trash Removal; Water/Sewer</t>
        </is>
      </c>
      <c r="K6" t="inlineStr" s="4">
        <is>
          <t xml:space="preserve">Yes</t>
        </is>
      </c>
      <c r="L6" t="inlineStr" s="4">
        <is>
          <t xml:space="preserve">Electricity: Included
Gas: Included
Heat: Included
Trash Removal: Included
Water/Sewer: Included</t>
        </is>
      </c>
      <c r="M6" t="inlineStr" s="4">
        <is>
          <t xml:space="preserve"/>
        </is>
      </c>
      <c r="N6" t="inlineStr" s="4">
        <is>
          <t xml:space="preserve">No</t>
        </is>
      </c>
      <c r="O6" t="inlineStr" s="4">
        <is>
          <t xml:space="preserve"/>
        </is>
      </c>
      <c r="P6" t="inlineStr" s="4">
        <is>
          <t xml:space="preserve"/>
        </is>
      </c>
      <c r="Q6" t="inlineStr" s="4">
        <is>
          <t xml:space="preserve">None</t>
        </is>
      </c>
      <c r="R6" t="inlineStr" s="4">
        <is>
          <t xml:space="preserve">https://offcampus.dasa.ncsu.edu/housing/property/modern-high-ceilings-2bed-2-bath/ocpet5b7hm</t>
        </is>
      </c>
    </row>
    <row r="7">
      <c r="A7" t="inlineStr" s="4">
        <is>
          <t xml:space="preserve">7e6kx1w</t>
        </is>
      </c>
      <c r="B7" t="inlineStr" s="4">
        <is>
          <t xml:space="preserve">Centennial Ridge Student Housing</t>
        </is>
      </c>
      <c r="C7" t="inlineStr" s="4">
        <is>
          <t xml:space="preserve">$599 - $2,157</t>
        </is>
      </c>
      <c r="D7" s="3">
        <v>599</v>
      </c>
      <c r="E7" s="3">
        <v>2157</v>
      </c>
      <c r="F7" s="3">
        <f>AVERAGE(D7:E7)</f>
        <v>1378</v>
      </c>
      <c r="G7" s="5">
        <v>2.3721447191090372</v>
      </c>
      <c r="H7" t="inlineStr" s="4">
        <is>
          <t xml:space="preserve">&gt;1–3 mi</t>
        </is>
      </c>
      <c r="I7" t="inlineStr" s="4">
        <is>
          <t xml:space="preserve">Structured utility fields</t>
        </is>
      </c>
      <c r="J7" t="inlineStr" s="4">
        <is>
          <t xml:space="preserve">Electricity; Heat; Water/Sewer</t>
        </is>
      </c>
      <c r="K7" t="inlineStr" s="4">
        <is>
          <t xml:space="preserve">No</t>
        </is>
      </c>
      <c r="L7" t="inlineStr" s="4">
        <is>
          <t xml:space="preserve">Air Conditioning: Included
Electricity: Included
Heat: Included
High-Speed Internet: Included
Water/Sewer: Included</t>
        </is>
      </c>
      <c r="M7" t="inlineStr" s="4">
        <is>
          <t xml:space="preserve"/>
        </is>
      </c>
      <c r="N7" t="inlineStr" s="4">
        <is>
          <t xml:space="preserve">No</t>
        </is>
      </c>
      <c r="O7" t="inlineStr" s="4">
        <is>
          <t xml:space="preserve"/>
        </is>
      </c>
      <c r="P7" t="inlineStr" s="4">
        <is>
          <t xml:space="preserve"/>
        </is>
      </c>
      <c r="Q7" t="inlineStr" s="4">
        <is>
          <t xml:space="preserve">Not reported</t>
        </is>
      </c>
      <c r="R7" t="inlineStr" s="4">
        <is>
          <t xml:space="preserve">https://offcampus.dasa.ncsu.edu/housing/property/centennial-ridge-student-housing/7e6kx1w</t>
        </is>
      </c>
    </row>
    <row r="8">
      <c r="A8" t="inlineStr" s="4">
        <is>
          <t xml:space="preserve">ocpw46rjcl</t>
        </is>
      </c>
      <c r="B8" t="inlineStr" s="4">
        <is>
          <t xml:space="preserve">Brand New Luxury Furnished Townhome | 4 Bed /  3.5 Bath | 5 Min to NC State &amp; 3 Mins to Fenton +shop</t>
        </is>
      </c>
      <c r="C8" t="inlineStr" s="4">
        <is>
          <t xml:space="preserve">$900 - $1,050</t>
        </is>
      </c>
      <c r="D8" s="3">
        <v>900</v>
      </c>
      <c r="E8" s="3">
        <v>1050</v>
      </c>
      <c r="F8" s="3">
        <f>AVERAGE(D8:E8)</f>
        <v>975</v>
      </c>
      <c r="G8" s="5">
        <v>3.3349970297971607</v>
      </c>
      <c r="H8" t="inlineStr" s="4">
        <is>
          <t xml:space="preserve">&gt;3–5 mi</t>
        </is>
      </c>
      <c r="I8" t="inlineStr" s="4">
        <is>
          <t xml:space="preserve">Saved description</t>
        </is>
      </c>
      <c r="J8" t="inlineStr" s="4">
        <is>
          <t xml:space="preserve"/>
        </is>
      </c>
      <c r="K8" t="inlineStr" s="4">
        <is>
          <t xml:space="preserve">No</t>
        </is>
      </c>
      <c r="L8" t="inlineStr" s="4">
        <is>
          <t xml:space="preserve"/>
        </is>
      </c>
      <c r="M8" t="inlineStr" s="4">
        <is>
          <t xml:space="preserve">All utilities included
High-speed internet included</t>
        </is>
      </c>
      <c r="N8" t="inlineStr" s="4">
        <is>
          <t xml:space="preserve">Yes</t>
        </is>
      </c>
      <c r="O8" t="inlineStr" s="4">
        <is>
          <t xml:space="preserve">All utilities included</t>
        </is>
      </c>
      <c r="P8" t="inlineStr" s="4">
        <is>
          <t xml:space="preserve">Manual review: saved wording explicitly states all utilities are included/inclusive.</t>
        </is>
      </c>
      <c r="Q8" t="inlineStr" s="4">
        <is>
          <t xml:space="preserve">None</t>
        </is>
      </c>
      <c r="R8" t="inlineStr" s="4">
        <is>
          <t xml:space="preserve">https://offcampus.dasa.ncsu.edu/housing/property/brand-new-luxury-furnished-townhome-4-bed-3-5-bath-5-min-to-nc-state-and-3-mins-to-fenton-shop/ocpw46rjcl</t>
        </is>
      </c>
    </row>
    <row r="9">
      <c r="A9" t="inlineStr" s="4">
        <is>
          <t xml:space="preserve">ocpchygggd</t>
        </is>
      </c>
      <c r="B9" t="inlineStr" s="4">
        <is>
          <t xml:space="preserve">Hurry 2 Rooms Left! – 4BR/4BA Condo Near NC State  – All Utilities &amp; Internet Included!</t>
        </is>
      </c>
      <c r="C9" t="inlineStr" s="4">
        <is>
          <t xml:space="preserve">$695</t>
        </is>
      </c>
      <c r="D9" s="3">
        <v>695</v>
      </c>
      <c r="E9" s="3">
        <v>695</v>
      </c>
      <c r="F9" s="3">
        <f>AVERAGE(D9:E9)</f>
        <v>695</v>
      </c>
      <c r="G9" s="5">
        <v>2.1923662982834173</v>
      </c>
      <c r="H9" t="inlineStr" s="4">
        <is>
          <t xml:space="preserve">&gt;1–3 mi</t>
        </is>
      </c>
      <c r="I9" t="inlineStr" s="4">
        <is>
          <t xml:space="preserve">Structured utility fields + saved description</t>
        </is>
      </c>
      <c r="J9" t="inlineStr" s="4">
        <is>
          <t xml:space="preserve">Electricity; Gas; Heat; Trash Removal; Water/Sewer</t>
        </is>
      </c>
      <c r="K9" t="inlineStr" s="4">
        <is>
          <t xml:space="preserve">Yes</t>
        </is>
      </c>
      <c r="L9" t="inlineStr" s="4">
        <is>
          <t xml:space="preserve">Electricity: Included
Gas: Included
Heat: Included
High-Speed Internet: Included
Recycling: Included
Trash Removal: Included
Water/Sewer: Included</t>
        </is>
      </c>
      <c r="M9" t="inlineStr" s="4">
        <is>
          <t xml:space="preserve">Rent is $695 per month per room and includes all utilities (electricity, water, and internet), with no hidden fees.</t>
        </is>
      </c>
      <c r="N9" t="inlineStr" s="4">
        <is>
          <t xml:space="preserve">Yes</t>
        </is>
      </c>
      <c r="O9" t="inlineStr" s="4">
        <is>
          <t xml:space="preserve">Rent is $695 per month per room and includes all utilities (electricity, water, and internet), with no hidden fees.</t>
        </is>
      </c>
      <c r="P9" t="inlineStr" s="4">
        <is>
          <t xml:space="preserve">Manual review: saved wording explicitly states all utilities are included/inclusive.</t>
        </is>
      </c>
      <c r="Q9" t="inlineStr" s="4">
        <is>
          <t xml:space="preserve">None</t>
        </is>
      </c>
      <c r="R9" t="inlineStr" s="4">
        <is>
          <t xml:space="preserve">https://offcampus.dasa.ncsu.edu/housing/property/hurry-2-rooms-left-4br-4ba-condo-near-nc-state-all-utilities-and-internet-included/ocpchygggd</t>
        </is>
      </c>
    </row>
    <row r="10">
      <c r="A10" t="inlineStr" s="4">
        <is>
          <t xml:space="preserve">ocpesl9n3p</t>
        </is>
      </c>
      <c r="B10" t="inlineStr" s="4">
        <is>
          <t xml:space="preserve">maisonNC --- Fully Furnished minutes away from Wolfline and Shopping</t>
        </is>
      </c>
      <c r="C10" t="inlineStr" s="4">
        <is>
          <t xml:space="preserve">$750</t>
        </is>
      </c>
      <c r="D10" s="3">
        <v>750</v>
      </c>
      <c r="E10" s="3">
        <v>750</v>
      </c>
      <c r="F10" s="3">
        <f>AVERAGE(D10:E10)</f>
        <v>750</v>
      </c>
      <c r="G10" s="5">
        <v>1.6193493622807462</v>
      </c>
      <c r="H10" t="inlineStr" s="4">
        <is>
          <t xml:space="preserve">&gt;1–3 mi</t>
        </is>
      </c>
      <c r="I10" t="inlineStr" s="4">
        <is>
          <t xml:space="preserve">Saved description</t>
        </is>
      </c>
      <c r="J10" t="inlineStr" s="4">
        <is>
          <t xml:space="preserve"/>
        </is>
      </c>
      <c r="K10" t="inlineStr" s="4">
        <is>
          <t xml:space="preserve">No</t>
        </is>
      </c>
      <c r="L10" t="inlineStr" s="4">
        <is>
          <t xml:space="preserve"/>
        </is>
      </c>
      <c r="M10" t="inlineStr" s="4">
        <is>
          <t xml:space="preserve">All utilities, wifi (google fiber) and parking included in the rent.</t>
        </is>
      </c>
      <c r="N10" t="inlineStr" s="4">
        <is>
          <t xml:space="preserve">Yes</t>
        </is>
      </c>
      <c r="O10" t="inlineStr" s="4">
        <is>
          <t xml:space="preserve">All utilities, wifi (google fiber) and parking included in the rent.</t>
        </is>
      </c>
      <c r="P10" t="inlineStr" s="4">
        <is>
          <t xml:space="preserve">Manual review: saved wording explicitly states all utilities are included/inclusive.</t>
        </is>
      </c>
      <c r="Q10" t="inlineStr" s="4">
        <is>
          <t xml:space="preserve">None</t>
        </is>
      </c>
      <c r="R10" t="inlineStr" s="4">
        <is>
          <t xml:space="preserve">https://offcampus.dasa.ncsu.edu/housing/property/maisonnc-fully-furnished-minutes-away-from-wolfline-and-shopping/ocpesl9n3p</t>
        </is>
      </c>
    </row>
    <row r="11">
      <c r="A11" t="inlineStr" s="4">
        <is>
          <t xml:space="preserve">ocpcm3jede</t>
        </is>
      </c>
      <c r="B11" t="inlineStr" s="4">
        <is>
          <t xml:space="preserve">maisonNC --- Fully Furnished minutes away from Wolfline and Shopping</t>
        </is>
      </c>
      <c r="C11" t="inlineStr" s="4">
        <is>
          <t xml:space="preserve">$750</t>
        </is>
      </c>
      <c r="D11" s="3">
        <v>750</v>
      </c>
      <c r="E11" s="3">
        <v>750</v>
      </c>
      <c r="F11" s="3">
        <f>AVERAGE(D11:E11)</f>
        <v>750</v>
      </c>
      <c r="G11" s="5">
        <v>1.6003712180034149</v>
      </c>
      <c r="H11" t="inlineStr" s="4">
        <is>
          <t xml:space="preserve">&gt;1–3 mi</t>
        </is>
      </c>
      <c r="I11" t="inlineStr" s="4">
        <is>
          <t xml:space="preserve">Structured utility fields + saved description</t>
        </is>
      </c>
      <c r="J11" t="inlineStr" s="4">
        <is>
          <t xml:space="preserve">Electricity; Heat; Water/Sewer</t>
        </is>
      </c>
      <c r="K11" t="inlineStr" s="4">
        <is>
          <t xml:space="preserve">No</t>
        </is>
      </c>
      <c r="L11" t="inlineStr" s="4">
        <is>
          <t xml:space="preserve">Cable: Included
Electricity: Included
Heat: Included
High-Speed Internet: Included
Recycling: Included
Water/Sewer: Included</t>
        </is>
      </c>
      <c r="M11" t="inlineStr" s="4">
        <is>
          <t xml:space="preserve">Rent includes all utilities, wifi and parking.</t>
        </is>
      </c>
      <c r="N11" t="inlineStr" s="4">
        <is>
          <t xml:space="preserve">Yes</t>
        </is>
      </c>
      <c r="O11" t="inlineStr" s="4">
        <is>
          <t xml:space="preserve">Rent includes all utilities, wifi and parking.</t>
        </is>
      </c>
      <c r="P11" t="inlineStr" s="4">
        <is>
          <t xml:space="preserve">Manual review: saved wording explicitly states all utilities are included/inclusive.</t>
        </is>
      </c>
      <c r="Q11" t="inlineStr" s="4">
        <is>
          <t xml:space="preserve">None</t>
        </is>
      </c>
      <c r="R11" t="inlineStr" s="4">
        <is>
          <t xml:space="preserve">https://offcampus.dasa.ncsu.edu/housing/property/maisonnc-fully-furnished-minutes-away-from-wolfline-and-shopping/ocpcm3jede</t>
        </is>
      </c>
    </row>
    <row r="12">
      <c r="A12" t="inlineStr" s="4">
        <is>
          <t xml:space="preserve">ocpnx5c0kn</t>
        </is>
      </c>
      <c r="B12" t="inlineStr" s="4">
        <is>
          <t xml:space="preserve">Modern &amp; spacious 3BR/3BA Apartment w/View</t>
        </is>
      </c>
      <c r="C12" t="inlineStr" s="4">
        <is>
          <t xml:space="preserve">$1,000</t>
        </is>
      </c>
      <c r="D12" s="3">
        <v>1000</v>
      </c>
      <c r="E12" s="3">
        <v>1000</v>
      </c>
      <c r="F12" s="3">
        <f>AVERAGE(D12:E12)</f>
        <v>1000</v>
      </c>
      <c r="G12" s="5">
        <v>1.0361293730630046</v>
      </c>
      <c r="H12" t="inlineStr" s="4">
        <is>
          <t xml:space="preserve">&gt;1–3 mi</t>
        </is>
      </c>
      <c r="I12" t="inlineStr" s="4">
        <is>
          <t xml:space="preserve">Structured utility fields</t>
        </is>
      </c>
      <c r="J12" t="inlineStr" s="4">
        <is>
          <t xml:space="preserve">Electricity; Gas; Heat; Trash Removal; Water/Sewer</t>
        </is>
      </c>
      <c r="K12" t="inlineStr" s="4">
        <is>
          <t xml:space="preserve">Yes</t>
        </is>
      </c>
      <c r="L12" t="inlineStr" s="4">
        <is>
          <t xml:space="preserve">Electricity: Included
Gas: Included
Heat: Included
High-Speed Internet: Included
Trash Removal: Included
Water/Sewer: Included</t>
        </is>
      </c>
      <c r="M12" t="inlineStr" s="4">
        <is>
          <t xml:space="preserve"/>
        </is>
      </c>
      <c r="N12" t="inlineStr" s="4">
        <is>
          <t xml:space="preserve">No</t>
        </is>
      </c>
      <c r="O12" t="inlineStr" s="4">
        <is>
          <t xml:space="preserve"/>
        </is>
      </c>
      <c r="P12" t="inlineStr" s="4">
        <is>
          <t xml:space="preserve"/>
        </is>
      </c>
      <c r="Q12" t="inlineStr" s="4">
        <is>
          <t xml:space="preserve">None</t>
        </is>
      </c>
      <c r="R12" t="inlineStr" s="4">
        <is>
          <t xml:space="preserve">https://offcampus.dasa.ncsu.edu/housing/property/modern-and-spacious-3br-3ba-apartment-w-view/ocpnx5c0kn</t>
        </is>
      </c>
    </row>
    <row r="13">
      <c r="A13" t="inlineStr" s="4">
        <is>
          <t xml:space="preserve">ocpjeweyz6</t>
        </is>
      </c>
      <c r="B13" t="inlineStr" s="4">
        <is>
          <t xml:space="preserve">All Girls Unit - Room with Private Bathroom at  University Woods at Centennial Condominiums</t>
        </is>
      </c>
      <c r="C13" t="inlineStr" s="4">
        <is>
          <t xml:space="preserve">$645</t>
        </is>
      </c>
      <c r="D13" s="3">
        <v>645</v>
      </c>
      <c r="E13" s="3">
        <v>645</v>
      </c>
      <c r="F13" s="3">
        <f>AVERAGE(D13:E13)</f>
        <v>645</v>
      </c>
      <c r="G13" s="5">
        <v>2.1883474884008582</v>
      </c>
      <c r="H13" t="inlineStr" s="4">
        <is>
          <t xml:space="preserve">&gt;1–3 mi</t>
        </is>
      </c>
      <c r="I13" t="inlineStr" s="4">
        <is>
          <t xml:space="preserve">Structured utility fields + saved description</t>
        </is>
      </c>
      <c r="J13" t="inlineStr" s="4">
        <is>
          <t xml:space="preserve">Trash Removal</t>
        </is>
      </c>
      <c r="K13" t="inlineStr" s="4">
        <is>
          <t xml:space="preserve">No</t>
        </is>
      </c>
      <c r="L13" t="inlineStr" s="4">
        <is>
          <t xml:space="preserve">Recycling: Included
Trash Removal: Included</t>
        </is>
      </c>
      <c r="M13" t="inlineStr" s="4">
        <is>
          <t xml:space="preserve">Included: sewer, trash
Not included: Water, Internet and Electricity (shared among roommates)</t>
        </is>
      </c>
      <c r="N13" t="inlineStr" s="4">
        <is>
          <t xml:space="preserve">No</t>
        </is>
      </c>
      <c r="O13" t="inlineStr" s="4">
        <is>
          <t xml:space="preserve"/>
        </is>
      </c>
      <c r="P13" t="inlineStr" s="4">
        <is>
          <t xml:space="preserve"/>
        </is>
      </c>
      <c r="Q13" t="inlineStr" s="4">
        <is>
          <t xml:space="preserve">None</t>
        </is>
      </c>
      <c r="R13" t="inlineStr" s="4">
        <is>
          <t xml:space="preserve">https://offcampus.dasa.ncsu.edu/housing/property/all-girls-unit-room-with-private-bathroom-at-university-woods-at-centennial-condominiums/ocpjeweyz6</t>
        </is>
      </c>
    </row>
    <row r="14">
      <c r="A14" t="inlineStr" s="4">
        <is>
          <t xml:space="preserve">0smdl31</t>
        </is>
      </c>
      <c r="B14" t="inlineStr" s="4">
        <is>
          <t xml:space="preserve">Paloma Raleigh</t>
        </is>
      </c>
      <c r="C14" t="inlineStr" s="4">
        <is>
          <t xml:space="preserve">$749 - $1,599</t>
        </is>
      </c>
      <c r="D14" s="3">
        <v>749</v>
      </c>
      <c r="E14" s="3">
        <v>1599</v>
      </c>
      <c r="F14" s="3">
        <f>AVERAGE(D14:E14)</f>
        <v>1174</v>
      </c>
      <c r="G14" s="5">
        <v>2.624931081246668</v>
      </c>
      <c r="H14" t="inlineStr" s="4">
        <is>
          <t xml:space="preserve">&gt;1–3 mi</t>
        </is>
      </c>
      <c r="I14" t="inlineStr" s="4">
        <is>
          <t xml:space="preserve">Structured utility fields</t>
        </is>
      </c>
      <c r="J14" t="inlineStr" s="4">
        <is>
          <t xml:space="preserve">Gas; Heat; Trash Removal; Water/Sewer</t>
        </is>
      </c>
      <c r="K14" t="inlineStr" s="4">
        <is>
          <t xml:space="preserve">No</t>
        </is>
      </c>
      <c r="L14" t="inlineStr" s="4">
        <is>
          <t xml:space="preserve">Air Conditioning: Included
Cable: Included
Gas: Included
Heat: Included
High-Speed Internet: Included
Trash Removal: Included
Water/Sewer: Included</t>
        </is>
      </c>
      <c r="M14" t="inlineStr" s="4">
        <is>
          <t xml:space="preserve"/>
        </is>
      </c>
      <c r="N14" t="inlineStr" s="4">
        <is>
          <t xml:space="preserve">No</t>
        </is>
      </c>
      <c r="O14" t="inlineStr" s="4">
        <is>
          <t xml:space="preserve"/>
        </is>
      </c>
      <c r="P14" t="inlineStr" s="4">
        <is>
          <t xml:space="preserve"/>
        </is>
      </c>
      <c r="Q14" t="inlineStr" s="4">
        <is>
          <t xml:space="preserve">Not reported</t>
        </is>
      </c>
      <c r="R14" t="inlineStr" s="4">
        <is>
          <t xml:space="preserve">https://offcampus.dasa.ncsu.edu/housing/property/paloma-raleigh/0smdl31</t>
        </is>
      </c>
    </row>
    <row r="15">
      <c r="A15" t="inlineStr" s="4">
        <is>
          <t xml:space="preserve">ocppjxdd3r</t>
        </is>
      </c>
      <c r="B15" t="inlineStr" s="4">
        <is>
          <t xml:space="preserve">Collegeview Duplex--Brand New Luxury Housing within walking distance to NCSU</t>
        </is>
      </c>
      <c r="C15" t="inlineStr" s="4">
        <is>
          <t xml:space="preserve">$900 - $950</t>
        </is>
      </c>
      <c r="D15" s="3">
        <v>900</v>
      </c>
      <c r="E15" s="3">
        <v>950</v>
      </c>
      <c r="F15" s="3">
        <f>AVERAGE(D15:E15)</f>
        <v>925</v>
      </c>
      <c r="G15" s="5">
        <v>0.24915253272800988</v>
      </c>
      <c r="H15" t="inlineStr" s="4">
        <is>
          <t xml:space="preserve">0–1 mi</t>
        </is>
      </c>
      <c r="I15" t="inlineStr" s="4">
        <is>
          <t xml:space="preserve">Structured utility fields</t>
        </is>
      </c>
      <c r="J15" t="inlineStr" s="4">
        <is>
          <t xml:space="preserve">Trash Removal</t>
        </is>
      </c>
      <c r="K15" t="inlineStr" s="4">
        <is>
          <t xml:space="preserve">No</t>
        </is>
      </c>
      <c r="L15" t="inlineStr" s="4">
        <is>
          <t xml:space="preserve">Recycling: Included
Trash Removal: Included</t>
        </is>
      </c>
      <c r="M15" t="inlineStr" s="4">
        <is>
          <t xml:space="preserve"/>
        </is>
      </c>
      <c r="N15" t="inlineStr" s="4">
        <is>
          <t xml:space="preserve">No</t>
        </is>
      </c>
      <c r="O15" t="inlineStr" s="4">
        <is>
          <t xml:space="preserve"/>
        </is>
      </c>
      <c r="P15" t="inlineStr" s="4">
        <is>
          <t xml:space="preserve"/>
        </is>
      </c>
      <c r="Q15" t="inlineStr" s="4">
        <is>
          <t xml:space="preserve">None</t>
        </is>
      </c>
      <c r="R15" t="inlineStr" s="4">
        <is>
          <t xml:space="preserve">https://offcampus.dasa.ncsu.edu/housing/property/collegeview-duplex-brand-new-luxury-housing-within-walking-distance-to-ncsu/ocppjxdd3r</t>
        </is>
      </c>
    </row>
    <row r="16">
      <c r="A16" t="inlineStr" s="4">
        <is>
          <t xml:space="preserve">ocpe1n95cm</t>
        </is>
      </c>
      <c r="B16" t="inlineStr" s="4">
        <is>
          <t xml:space="preserve">Big Promotion w/best price ever. Move in Immediately . MarcomTowns. Great location nice</t>
        </is>
      </c>
      <c r="C16" t="inlineStr" s="4">
        <is>
          <t xml:space="preserve">$950</t>
        </is>
      </c>
      <c r="D16" s="3">
        <v>950</v>
      </c>
      <c r="E16" s="3">
        <v>950</v>
      </c>
      <c r="F16" s="3">
        <f>AVERAGE(D16:E16)</f>
        <v>950</v>
      </c>
      <c r="G16" s="5">
        <v>0.24348936768421728</v>
      </c>
      <c r="H16" t="inlineStr" s="4">
        <is>
          <t xml:space="preserve">0–1 mi</t>
        </is>
      </c>
      <c r="I16" t="inlineStr" s="4">
        <is>
          <t xml:space="preserve">Structured utility fields</t>
        </is>
      </c>
      <c r="J16" t="inlineStr" s="4">
        <is>
          <t xml:space="preserve">Trash Removal</t>
        </is>
      </c>
      <c r="K16" t="inlineStr" s="4">
        <is>
          <t xml:space="preserve">No</t>
        </is>
      </c>
      <c r="L16" t="inlineStr" s="4">
        <is>
          <t xml:space="preserve">Recycling: Included
Trash Removal: Included</t>
        </is>
      </c>
      <c r="M16" t="inlineStr" s="4">
        <is>
          <t xml:space="preserve"/>
        </is>
      </c>
      <c r="N16" t="inlineStr" s="4">
        <is>
          <t xml:space="preserve">No</t>
        </is>
      </c>
      <c r="O16" t="inlineStr" s="4">
        <is>
          <t xml:space="preserve"/>
        </is>
      </c>
      <c r="P16" t="inlineStr" s="4">
        <is>
          <t xml:space="preserve"/>
        </is>
      </c>
      <c r="Q16" t="inlineStr" s="4">
        <is>
          <t xml:space="preserve">None</t>
        </is>
      </c>
      <c r="R16" t="inlineStr" s="4">
        <is>
          <t xml:space="preserve">https://offcampus.dasa.ncsu.edu/housing/property/big-promotion-w-best-price-ever-move-in-immediately-marcomtowns-great-location-nice/ocpe1n95cm</t>
        </is>
      </c>
    </row>
    <row r="17">
      <c r="A17" t="inlineStr" s="4">
        <is>
          <t xml:space="preserve">ocp2evl6hb</t>
        </is>
      </c>
      <c r="B17" t="inlineStr" s="4">
        <is>
          <t xml:space="preserve">University Oaks -</t>
        </is>
      </c>
      <c r="C17" t="inlineStr" s="4">
        <is>
          <t xml:space="preserve">$725</t>
        </is>
      </c>
      <c r="D17" s="3">
        <v>725</v>
      </c>
      <c r="E17" s="3">
        <v>725</v>
      </c>
      <c r="F17" s="3">
        <f>AVERAGE(D17:E17)</f>
        <v>725</v>
      </c>
      <c r="G17" s="5">
        <v>0.4400319491563999</v>
      </c>
      <c r="H17" t="inlineStr" s="4">
        <is>
          <t xml:space="preserve">0–1 mi</t>
        </is>
      </c>
      <c r="I17" t="inlineStr" s="4">
        <is>
          <t xml:space="preserve">Structured utility fields + saved description</t>
        </is>
      </c>
      <c r="J17" t="inlineStr" s="4">
        <is>
          <t xml:space="preserve">Electricity; Gas; Heat; Trash Removal; Water/Sewer</t>
        </is>
      </c>
      <c r="K17" t="inlineStr" s="4">
        <is>
          <t xml:space="preserve">Yes</t>
        </is>
      </c>
      <c r="L17" t="inlineStr" s="4">
        <is>
          <t xml:space="preserve">Electricity: Included
Gas: Included
Heat: Included
High-Speed Internet: Included
Recycling: Included
Trash Removal: Included
Water/Sewer: Included</t>
        </is>
      </c>
      <c r="M17" t="inlineStr" s="4">
        <is>
          <t xml:space="preserve">Parking, utilities, internet - included.</t>
        </is>
      </c>
      <c r="N17" t="inlineStr" s="4">
        <is>
          <t xml:space="preserve">No</t>
        </is>
      </c>
      <c r="O17" t="inlineStr" s="4">
        <is>
          <t xml:space="preserve"/>
        </is>
      </c>
      <c r="P17" t="inlineStr" s="4">
        <is>
          <t xml:space="preserve"/>
        </is>
      </c>
      <c r="Q17" t="inlineStr" s="4">
        <is>
          <t xml:space="preserve">None</t>
        </is>
      </c>
      <c r="R17" t="inlineStr" s="4">
        <is>
          <t xml:space="preserve">https://offcampus.dasa.ncsu.edu/housing/property/university-oaks/ocp2evl6hb</t>
        </is>
      </c>
    </row>
    <row r="18">
      <c r="A18" t="inlineStr" s="4">
        <is>
          <t xml:space="preserve">ocpvlydr3e</t>
        </is>
      </c>
      <c r="B18" t="inlineStr" s="4">
        <is>
          <t xml:space="preserve">Reavis ---Brand New Luxury Housing within walking distance to NCSU</t>
        </is>
      </c>
      <c r="C18" t="inlineStr" s="4">
        <is>
          <t xml:space="preserve">$925 - $975</t>
        </is>
      </c>
      <c r="D18" s="3">
        <v>925</v>
      </c>
      <c r="E18" s="3">
        <v>975</v>
      </c>
      <c r="F18" s="3">
        <f>AVERAGE(D18:E18)</f>
        <v>950</v>
      </c>
      <c r="G18" s="5">
        <v>0.8460792131088813</v>
      </c>
      <c r="H18" t="inlineStr" s="4">
        <is>
          <t xml:space="preserve">0–1 mi</t>
        </is>
      </c>
      <c r="I18" t="inlineStr" s="4">
        <is>
          <t xml:space="preserve">Structured utility fields</t>
        </is>
      </c>
      <c r="J18" t="inlineStr" s="4">
        <is>
          <t xml:space="preserve">Trash Removal</t>
        </is>
      </c>
      <c r="K18" t="inlineStr" s="4">
        <is>
          <t xml:space="preserve">No</t>
        </is>
      </c>
      <c r="L18" t="inlineStr" s="4">
        <is>
          <t xml:space="preserve">Recycling: Included
Trash Removal: Included</t>
        </is>
      </c>
      <c r="M18" t="inlineStr" s="4">
        <is>
          <t xml:space="preserve"/>
        </is>
      </c>
      <c r="N18" t="inlineStr" s="4">
        <is>
          <t xml:space="preserve">No</t>
        </is>
      </c>
      <c r="O18" t="inlineStr" s="4">
        <is>
          <t xml:space="preserve"/>
        </is>
      </c>
      <c r="P18" t="inlineStr" s="4">
        <is>
          <t xml:space="preserve"/>
        </is>
      </c>
      <c r="Q18" t="inlineStr" s="4">
        <is>
          <t xml:space="preserve">None</t>
        </is>
      </c>
      <c r="R18" t="inlineStr" s="4">
        <is>
          <t xml:space="preserve">https://offcampus.dasa.ncsu.edu/housing/property/reavis-brand-new-luxury-housing-within-walking-distance-to-ncsu/ocpvlydr3e</t>
        </is>
      </c>
    </row>
    <row r="19">
      <c r="A19" t="inlineStr" s="4">
        <is>
          <t xml:space="preserve">ocpxdxd79p</t>
        </is>
      </c>
      <c r="B19" t="inlineStr" s="4">
        <is>
          <t xml:space="preserve">4BR/4BA Condo| On Wolfline | Preleasing 27-28 Special $850 Util/Parking Incld | Mile to Campus</t>
        </is>
      </c>
      <c r="C19" t="inlineStr" s="4">
        <is>
          <t xml:space="preserve">$875</t>
        </is>
      </c>
      <c r="D19" s="3">
        <v>875</v>
      </c>
      <c r="E19" s="3">
        <v>875</v>
      </c>
      <c r="F19" s="3">
        <f>AVERAGE(D19:E19)</f>
        <v>875</v>
      </c>
      <c r="G19" s="5">
        <v>0.6554114366280899</v>
      </c>
      <c r="H19" t="inlineStr" s="4">
        <is>
          <t xml:space="preserve">0–1 mi</t>
        </is>
      </c>
      <c r="I19" t="inlineStr" s="4">
        <is>
          <t xml:space="preserve">Structured utility fields + saved description</t>
        </is>
      </c>
      <c r="J19" t="inlineStr" s="4">
        <is>
          <t xml:space="preserve">Electricity; Heat; Trash Removal; Water/Sewer</t>
        </is>
      </c>
      <c r="K19" t="inlineStr" s="4">
        <is>
          <t xml:space="preserve">No</t>
        </is>
      </c>
      <c r="L19" t="inlineStr" s="4">
        <is>
          <t xml:space="preserve">Electricity: Included
Heat: Included
High-Speed Internet: Included
Trash Removal: Included
Water/Sewer: Included</t>
        </is>
      </c>
      <c r="M19" t="inlineStr" s="4">
        <is>
          <t xml:space="preserve">* All utilities included: Electric, water, trash, and unlimited Google Fiber High-Speed Internet</t>
        </is>
      </c>
      <c r="N19" t="inlineStr" s="4">
        <is>
          <t xml:space="preserve">Yes</t>
        </is>
      </c>
      <c r="O19" t="inlineStr" s="4">
        <is>
          <t xml:space="preserve">* All utilities included: Electric, water, trash, and unlimited Google Fiber High-Speed Internet</t>
        </is>
      </c>
      <c r="P19" t="inlineStr" s="4">
        <is>
          <t xml:space="preserve">Manual review: saved wording explicitly states all utilities are included/inclusive.</t>
        </is>
      </c>
      <c r="Q19" t="inlineStr" s="4">
        <is>
          <t xml:space="preserve">None</t>
        </is>
      </c>
      <c r="R19" t="inlineStr" s="4">
        <is>
          <t xml:space="preserve">https://offcampus.dasa.ncsu.edu/housing/property/4br-4ba-condo-on-wolfline-preleasing-27-28-special-850-util-parking-incld-mile-to-campus/ocpxdxd79p</t>
        </is>
      </c>
    </row>
    <row r="20">
      <c r="A20" t="inlineStr" s="4">
        <is>
          <t xml:space="preserve">ocpm68s5sh</t>
        </is>
      </c>
      <c r="B20" t="inlineStr" s="4">
        <is>
          <t xml:space="preserve">Burt Drive Townhouses---Brand New Luxury Housing within walking distance to NCSU</t>
        </is>
      </c>
      <c r="C20" t="inlineStr" s="4">
        <is>
          <t xml:space="preserve">$1,050</t>
        </is>
      </c>
      <c r="D20" s="3">
        <v>1050</v>
      </c>
      <c r="E20" s="3">
        <v>1050</v>
      </c>
      <c r="F20" s="3">
        <f>AVERAGE(D20:E20)</f>
        <v>1050</v>
      </c>
      <c r="G20" s="5">
        <v>0.33988745736587095</v>
      </c>
      <c r="H20" t="inlineStr" s="4">
        <is>
          <t xml:space="preserve">0–1 mi</t>
        </is>
      </c>
      <c r="I20" t="inlineStr" s="4">
        <is>
          <t xml:space="preserve">Structured utility fields</t>
        </is>
      </c>
      <c r="J20" t="inlineStr" s="4">
        <is>
          <t xml:space="preserve">Trash Removal</t>
        </is>
      </c>
      <c r="K20" t="inlineStr" s="4">
        <is>
          <t xml:space="preserve">No</t>
        </is>
      </c>
      <c r="L20" t="inlineStr" s="4">
        <is>
          <t xml:space="preserve">Recycling: Included
Trash Removal: Included</t>
        </is>
      </c>
      <c r="M20" t="inlineStr" s="4">
        <is>
          <t xml:space="preserve"/>
        </is>
      </c>
      <c r="N20" t="inlineStr" s="4">
        <is>
          <t xml:space="preserve">No</t>
        </is>
      </c>
      <c r="O20" t="inlineStr" s="4">
        <is>
          <t xml:space="preserve"/>
        </is>
      </c>
      <c r="P20" t="inlineStr" s="4">
        <is>
          <t xml:space="preserve"/>
        </is>
      </c>
      <c r="Q20" t="inlineStr" s="4">
        <is>
          <t xml:space="preserve">None</t>
        </is>
      </c>
      <c r="R20" t="inlineStr" s="4">
        <is>
          <t xml:space="preserve">https://offcampus.dasa.ncsu.edu/housing/property/burt-drive-townhouses-brand-new-luxury-housing-within-walking-distance-to-ncsu/ocpm68s5sh</t>
        </is>
      </c>
    </row>
    <row r="21">
      <c r="A21" t="inlineStr" s="4">
        <is>
          <t xml:space="preserve">z8cfdjw</t>
        </is>
      </c>
      <c r="B21" t="inlineStr" s="4">
        <is>
          <t xml:space="preserve">Campus Crossings Raleigh</t>
        </is>
      </c>
      <c r="C21" t="inlineStr" s="4">
        <is>
          <t xml:space="preserve">$685 - $870</t>
        </is>
      </c>
      <c r="D21" s="3">
        <v>685</v>
      </c>
      <c r="E21" s="3">
        <v>870</v>
      </c>
      <c r="F21" s="3">
        <f>AVERAGE(D21:E21)</f>
        <v>777.5</v>
      </c>
      <c r="G21" s="5">
        <v>2.4201989857816337</v>
      </c>
      <c r="H21" t="inlineStr" s="4">
        <is>
          <t xml:space="preserve">&gt;1–3 mi</t>
        </is>
      </c>
      <c r="I21" t="inlineStr" s="4">
        <is>
          <t xml:space="preserve">Structured utility fields</t>
        </is>
      </c>
      <c r="J21" t="inlineStr" s="4">
        <is>
          <t xml:space="preserve">Electricity; Heat; Trash Removal; Water/Sewer</t>
        </is>
      </c>
      <c r="K21" t="inlineStr" s="4">
        <is>
          <t xml:space="preserve">No</t>
        </is>
      </c>
      <c r="L21" t="inlineStr" s="4">
        <is>
          <t xml:space="preserve">Air Conditioning: Included
Electricity: Included
Heat: Included
High-Speed Internet: Included
Trash Removal: Included
Water/Sewer: Included</t>
        </is>
      </c>
      <c r="M21" t="inlineStr" s="4">
        <is>
          <t xml:space="preserve"/>
        </is>
      </c>
      <c r="N21" t="inlineStr" s="4">
        <is>
          <t xml:space="preserve">No</t>
        </is>
      </c>
      <c r="O21" t="inlineStr" s="4">
        <is>
          <t xml:space="preserve"/>
        </is>
      </c>
      <c r="P21" t="inlineStr" s="4">
        <is>
          <t xml:space="preserve"/>
        </is>
      </c>
      <c r="Q21" t="inlineStr" s="4">
        <is>
          <t xml:space="preserve">Not reported</t>
        </is>
      </c>
      <c r="R21" t="inlineStr" s="4">
        <is>
          <t xml:space="preserve">https://offcampus.dasa.ncsu.edu/housing/property/campus-crossings-raleigh/z8cfdjw</t>
        </is>
      </c>
    </row>
    <row r="22">
      <c r="A22" t="inlineStr" s="4">
        <is>
          <t xml:space="preserve">ocp6mp93ms</t>
        </is>
      </c>
      <c r="B22" t="inlineStr" s="4">
        <is>
          <t xml:space="preserve">Newly Renovated - All Girls Unit Room with Private Bathroom</t>
        </is>
      </c>
      <c r="C22" t="inlineStr" s="4">
        <is>
          <t xml:space="preserve">$645</t>
        </is>
      </c>
      <c r="D22" s="3">
        <v>645</v>
      </c>
      <c r="E22" s="3">
        <v>645</v>
      </c>
      <c r="F22" s="3">
        <f>AVERAGE(D22:E22)</f>
        <v>645</v>
      </c>
      <c r="G22" s="5">
        <v>2.193838766953507</v>
      </c>
      <c r="H22" t="inlineStr" s="4">
        <is>
          <t xml:space="preserve">&gt;1–3 mi</t>
        </is>
      </c>
      <c r="I22" t="inlineStr" s="4">
        <is>
          <t xml:space="preserve">Saved description</t>
        </is>
      </c>
      <c r="J22" t="inlineStr" s="4">
        <is>
          <t xml:space="preserve"/>
        </is>
      </c>
      <c r="K22" t="inlineStr" s="4">
        <is>
          <t xml:space="preserve">No</t>
        </is>
      </c>
      <c r="L22" t="inlineStr" s="4">
        <is>
          <t xml:space="preserve"/>
        </is>
      </c>
      <c r="M22" t="inlineStr" s="4">
        <is>
          <t xml:space="preserve">Included: sewer, trash
Not included: Water, Internet and Electricity (shared among roommates)</t>
        </is>
      </c>
      <c r="N22" t="inlineStr" s="4">
        <is>
          <t xml:space="preserve">No</t>
        </is>
      </c>
      <c r="O22" t="inlineStr" s="4">
        <is>
          <t xml:space="preserve"/>
        </is>
      </c>
      <c r="P22" t="inlineStr" s="4">
        <is>
          <t xml:space="preserve"/>
        </is>
      </c>
      <c r="Q22" t="inlineStr" s="4">
        <is>
          <t xml:space="preserve">Not reported</t>
        </is>
      </c>
      <c r="R22" t="inlineStr" s="4">
        <is>
          <t xml:space="preserve">https://offcampus.dasa.ncsu.edu/housing/property/newly-renovated-all-girls-unit-room-with-private-bathroom/ocp6mp93ms</t>
        </is>
      </c>
    </row>
    <row r="23">
      <c r="A23" t="inlineStr" s="4">
        <is>
          <t xml:space="preserve">5x5ph7m</t>
        </is>
      </c>
      <c r="B23" t="inlineStr" s="4">
        <is>
          <t xml:space="preserve">Redpoint Raleigh</t>
        </is>
      </c>
      <c r="C23" t="inlineStr" s="4">
        <is>
          <t xml:space="preserve">$899 - $995</t>
        </is>
      </c>
      <c r="D23" s="3">
        <v>899</v>
      </c>
      <c r="E23" s="3">
        <v>995</v>
      </c>
      <c r="F23" s="3">
        <f>AVERAGE(D23:E23)</f>
        <v>947</v>
      </c>
      <c r="G23" s="5">
        <v>2.696273350307905</v>
      </c>
      <c r="H23" t="inlineStr" s="4">
        <is>
          <t xml:space="preserve">&gt;1–3 mi</t>
        </is>
      </c>
      <c r="I23" t="inlineStr" s="4">
        <is>
          <t xml:space="preserve">Structured utility fields</t>
        </is>
      </c>
      <c r="J23" t="inlineStr" s="4">
        <is>
          <t xml:space="preserve">Gas; Heat; Trash Removal; Water/Sewer</t>
        </is>
      </c>
      <c r="K23" t="inlineStr" s="4">
        <is>
          <t xml:space="preserve">No</t>
        </is>
      </c>
      <c r="L23" t="inlineStr" s="4">
        <is>
          <t xml:space="preserve">Air Conditioning: Included
Gas: Included
Heat: Included
High-Speed Internet: Included
Trash Removal: Included
Water/Sewer: Included</t>
        </is>
      </c>
      <c r="M23" t="inlineStr" s="4">
        <is>
          <t xml:space="preserve"/>
        </is>
      </c>
      <c r="N23" t="inlineStr" s="4">
        <is>
          <t xml:space="preserve">No</t>
        </is>
      </c>
      <c r="O23" t="inlineStr" s="4">
        <is>
          <t xml:space="preserve"/>
        </is>
      </c>
      <c r="P23" t="inlineStr" s="4">
        <is>
          <t xml:space="preserve"/>
        </is>
      </c>
      <c r="Q23" t="inlineStr" s="4">
        <is>
          <t xml:space="preserve">Not reported</t>
        </is>
      </c>
      <c r="R23" t="inlineStr" s="4">
        <is>
          <t xml:space="preserve">https://offcampus.dasa.ncsu.edu/housing/property/redpoint-raleigh/5x5ph7m</t>
        </is>
      </c>
    </row>
    <row r="24">
      <c r="A24" t="inlineStr" s="4">
        <is>
          <t xml:space="preserve">jjs8f07</t>
        </is>
      </c>
      <c r="B24" t="inlineStr" s="4">
        <is>
          <t xml:space="preserve">Village Green Student Housing</t>
        </is>
      </c>
      <c r="C24" t="inlineStr" s="4">
        <is>
          <t xml:space="preserve">$649 - $839</t>
        </is>
      </c>
      <c r="D24" s="3">
        <v>649</v>
      </c>
      <c r="E24" s="3">
        <v>839</v>
      </c>
      <c r="F24" s="3">
        <f>AVERAGE(D24:E24)</f>
        <v>744</v>
      </c>
      <c r="G24" s="5">
        <v>1.932509975086741</v>
      </c>
      <c r="H24" t="inlineStr" s="4">
        <is>
          <t xml:space="preserve">&gt;1–3 mi</t>
        </is>
      </c>
      <c r="I24" t="inlineStr" s="4">
        <is>
          <t xml:space="preserve">Structured utility fields</t>
        </is>
      </c>
      <c r="J24" t="inlineStr" s="4">
        <is>
          <t xml:space="preserve">Electricity; Gas; Heat; Trash Removal; Water/Sewer</t>
        </is>
      </c>
      <c r="K24" t="inlineStr" s="4">
        <is>
          <t xml:space="preserve">Yes</t>
        </is>
      </c>
      <c r="L24" t="inlineStr" s="4">
        <is>
          <t xml:space="preserve">Air Conditioning: Included
Electricity: Included
Gas: Included
Heat: Included
High-Speed Internet: Included
Trash Removal: Included
Water/Sewer: Included</t>
        </is>
      </c>
      <c r="M24" t="inlineStr" s="4">
        <is>
          <t xml:space="preserve"/>
        </is>
      </c>
      <c r="N24" t="inlineStr" s="4">
        <is>
          <t xml:space="preserve">No</t>
        </is>
      </c>
      <c r="O24" t="inlineStr" s="4">
        <is>
          <t xml:space="preserve"/>
        </is>
      </c>
      <c r="P24" t="inlineStr" s="4">
        <is>
          <t xml:space="preserve"/>
        </is>
      </c>
      <c r="Q24" t="inlineStr" s="4">
        <is>
          <t xml:space="preserve">Not reported</t>
        </is>
      </c>
      <c r="R24" t="inlineStr" s="4">
        <is>
          <t xml:space="preserve">https://offcampus.dasa.ncsu.edu/housing/property/village-green-student-housing/jjs8f07</t>
        </is>
      </c>
    </row>
    <row r="25">
      <c r="A25" t="inlineStr" s="4">
        <is>
          <t xml:space="preserve">ocpbhbkvy9</t>
        </is>
      </c>
      <c r="B25" t="inlineStr" s="4">
        <is>
          <t xml:space="preserve">Voyager House</t>
        </is>
      </c>
      <c r="C25" t="inlineStr" s="4">
        <is>
          <t xml:space="preserve">$800</t>
        </is>
      </c>
      <c r="D25" s="3">
        <v>800</v>
      </c>
      <c r="E25" s="3">
        <v>800</v>
      </c>
      <c r="F25" s="3">
        <f>AVERAGE(D25:E25)</f>
        <v>800</v>
      </c>
      <c r="G25" s="5">
        <v>1.8840499749385984</v>
      </c>
      <c r="H25" t="inlineStr" s="4">
        <is>
          <t xml:space="preserve">&gt;1–3 mi</t>
        </is>
      </c>
      <c r="I25" t="inlineStr" s="4">
        <is>
          <t xml:space="preserve">Structured utility fields</t>
        </is>
      </c>
      <c r="J25" t="inlineStr" s="4">
        <is>
          <t xml:space="preserve">Electricity; Gas; Heat; Trash Removal; Water/Sewer</t>
        </is>
      </c>
      <c r="K25" t="inlineStr" s="4">
        <is>
          <t xml:space="preserve">Yes</t>
        </is>
      </c>
      <c r="L25" t="inlineStr" s="4">
        <is>
          <t xml:space="preserve">Electricity: Included
Gas: Included
Heat: Included
High-Speed Internet: Included
Recycling: Included
Trash Removal: Included
Water/Sewer: Included</t>
        </is>
      </c>
      <c r="M25" t="inlineStr" s="4">
        <is>
          <t xml:space="preserve"/>
        </is>
      </c>
      <c r="N25" t="inlineStr" s="4">
        <is>
          <t xml:space="preserve">No</t>
        </is>
      </c>
      <c r="O25" t="inlineStr" s="4">
        <is>
          <t xml:space="preserve"/>
        </is>
      </c>
      <c r="P25" t="inlineStr" s="4">
        <is>
          <t xml:space="preserve"/>
        </is>
      </c>
      <c r="Q25" t="inlineStr" s="4">
        <is>
          <t xml:space="preserve">None</t>
        </is>
      </c>
      <c r="R25" t="inlineStr" s="4">
        <is>
          <t xml:space="preserve">https://offcampus.dasa.ncsu.edu/housing/property/voyager-house/ocpbhbkvy9</t>
        </is>
      </c>
    </row>
    <row r="26">
      <c r="A26" t="inlineStr" s="4">
        <is>
          <t xml:space="preserve">e13mz5m</t>
        </is>
      </c>
      <c r="B26" t="inlineStr" s="4">
        <is>
          <t xml:space="preserve">University Suites Student Housing</t>
        </is>
      </c>
      <c r="C26" t="inlineStr" s="4">
        <is>
          <t xml:space="preserve">$699 - $799</t>
        </is>
      </c>
      <c r="D26" s="3">
        <v>699</v>
      </c>
      <c r="E26" s="3">
        <v>799</v>
      </c>
      <c r="F26" s="3">
        <f>AVERAGE(D26:E26)</f>
        <v>749</v>
      </c>
      <c r="G26" s="5">
        <v>2.292134879809194</v>
      </c>
      <c r="H26" t="inlineStr" s="4">
        <is>
          <t xml:space="preserve">&gt;1–3 mi</t>
        </is>
      </c>
      <c r="I26" t="inlineStr" s="4">
        <is>
          <t xml:space="preserve">Structured utility fields</t>
        </is>
      </c>
      <c r="J26" t="inlineStr" s="4">
        <is>
          <t xml:space="preserve">Electricity; Trash Removal; Water/Sewer</t>
        </is>
      </c>
      <c r="K26" t="inlineStr" s="4">
        <is>
          <t xml:space="preserve">No</t>
        </is>
      </c>
      <c r="L26" t="inlineStr" s="4">
        <is>
          <t xml:space="preserve">Electricity: Included
High-Speed Internet: Included
Trash Removal: Included
Water/Sewer: Included</t>
        </is>
      </c>
      <c r="M26" t="inlineStr" s="4">
        <is>
          <t xml:space="preserve"/>
        </is>
      </c>
      <c r="N26" t="inlineStr" s="4">
        <is>
          <t xml:space="preserve">No</t>
        </is>
      </c>
      <c r="O26" t="inlineStr" s="4">
        <is>
          <t xml:space="preserve"/>
        </is>
      </c>
      <c r="P26" t="inlineStr" s="4">
        <is>
          <t xml:space="preserve"/>
        </is>
      </c>
      <c r="Q26" t="inlineStr" s="4">
        <is>
          <t xml:space="preserve">Not reported</t>
        </is>
      </c>
      <c r="R26" t="inlineStr" s="4">
        <is>
          <t xml:space="preserve">https://offcampus.dasa.ncsu.edu/housing/property/university-suites-student-housing/e13mz5m</t>
        </is>
      </c>
    </row>
    <row r="27">
      <c r="A27" t="inlineStr" s="4">
        <is>
          <t xml:space="preserve">ocpepvxvln</t>
        </is>
      </c>
      <c r="B27" t="inlineStr" s="4">
        <is>
          <t xml:space="preserve">Village Green Student Living</t>
        </is>
      </c>
      <c r="C27" t="inlineStr" s="4">
        <is>
          <t xml:space="preserve">$831</t>
        </is>
      </c>
      <c r="D27" s="3">
        <v>831</v>
      </c>
      <c r="E27" s="3">
        <v>831</v>
      </c>
      <c r="F27" s="3">
        <f>AVERAGE(D27:E27)</f>
        <v>831</v>
      </c>
      <c r="G27" s="5">
        <v>1.8158694045428092</v>
      </c>
      <c r="H27" t="inlineStr" s="4">
        <is>
          <t xml:space="preserve">&gt;1–3 mi</t>
        </is>
      </c>
      <c r="I27" t="inlineStr" s="4">
        <is>
          <t xml:space="preserve">Saved description</t>
        </is>
      </c>
      <c r="J27" t="inlineStr" s="4">
        <is>
          <t xml:space="preserve"/>
        </is>
      </c>
      <c r="K27" t="inlineStr" s="4">
        <is>
          <t xml:space="preserve">No</t>
        </is>
      </c>
      <c r="L27" t="inlineStr" s="4">
        <is>
          <t xml:space="preserve"/>
        </is>
      </c>
      <c r="M27" t="inlineStr" s="4">
        <is>
          <t xml:space="preserve">The price of parking and all utilities are included in the base rent fee of ~$831/month.</t>
        </is>
      </c>
      <c r="N27" t="inlineStr" s="4">
        <is>
          <t xml:space="preserve">Yes</t>
        </is>
      </c>
      <c r="O27" t="inlineStr" s="4">
        <is>
          <t xml:space="preserve">The price of parking and all utilities are included in the base rent fee of ~$831/month.</t>
        </is>
      </c>
      <c r="P27" t="inlineStr" s="4">
        <is>
          <t xml:space="preserve">Manual review: saved wording explicitly states all utilities are included/inclusive.</t>
        </is>
      </c>
      <c r="Q27" t="inlineStr" s="4">
        <is>
          <t xml:space="preserve">None</t>
        </is>
      </c>
      <c r="R27" t="inlineStr" s="4">
        <is>
          <t xml:space="preserve">https://offcampus.dasa.ncsu.edu/housing/property/village-green-student-living/ocpepvxvln</t>
        </is>
      </c>
    </row>
    <row r="28">
      <c r="A28" t="inlineStr" s="4">
        <is>
          <t xml:space="preserve">ocpgxr290w</t>
        </is>
      </c>
      <c r="B28" t="inlineStr" s="4">
        <is>
          <t xml:space="preserve">Spacious Forest Park Two-Room Suite + Private Bath - Walk to Campus (Includes Utilities)</t>
        </is>
      </c>
      <c r="C28" t="inlineStr" s="4">
        <is>
          <t xml:space="preserve">$1,225</t>
        </is>
      </c>
      <c r="D28" s="3">
        <v>1225</v>
      </c>
      <c r="E28" s="3">
        <v>1225</v>
      </c>
      <c r="F28" s="3">
        <f>AVERAGE(D28:E28)</f>
        <v>1225</v>
      </c>
      <c r="G28" s="5">
        <v>1.604060635545072</v>
      </c>
      <c r="H28" t="inlineStr" s="4">
        <is>
          <t xml:space="preserve">&gt;1–3 mi</t>
        </is>
      </c>
      <c r="I28" t="inlineStr" s="4">
        <is>
          <t xml:space="preserve">Saved listing title</t>
        </is>
      </c>
      <c r="J28" t="inlineStr" s="4">
        <is>
          <t xml:space="preserve"/>
        </is>
      </c>
      <c r="K28" t="inlineStr" s="4">
        <is>
          <t xml:space="preserve">No</t>
        </is>
      </c>
      <c r="L28" t="inlineStr" s="4">
        <is>
          <t xml:space="preserve"/>
        </is>
      </c>
      <c r="M28" t="inlineStr" s="4">
        <is>
          <t xml:space="preserve">Spacious Forest Park Two-Room Suite + Private Bath - Walk to Campus (Includes Utilities)</t>
        </is>
      </c>
      <c r="N28" t="inlineStr" s="4">
        <is>
          <t xml:space="preserve">No</t>
        </is>
      </c>
      <c r="O28" t="inlineStr" s="4">
        <is>
          <t xml:space="preserve"/>
        </is>
      </c>
      <c r="P28" t="inlineStr" s="4">
        <is>
          <t xml:space="preserve"/>
        </is>
      </c>
      <c r="Q28" t="inlineStr" s="4">
        <is>
          <t xml:space="preserve">None</t>
        </is>
      </c>
      <c r="R28" t="inlineStr" s="4">
        <is>
          <t xml:space="preserve">https://offcampus.dasa.ncsu.edu/housing/property/spacious-forest-park-two-room-suite-private-bath-walk-to-campus-includes-utilities/ocpgxr290w</t>
        </is>
      </c>
    </row>
    <row r="29">
      <c r="A29" t="inlineStr" s="4">
        <is>
          <t xml:space="preserve">ocpsd8dpj6</t>
        </is>
      </c>
      <c r="B29" t="inlineStr" s="4">
        <is>
          <t xml:space="preserve">Spacious En-suite with private patio and garage parking in Crescent Ridge Townhome Community</t>
        </is>
      </c>
      <c r="C29" t="inlineStr" s="4">
        <is>
          <t xml:space="preserve">$900</t>
        </is>
      </c>
      <c r="D29" s="3">
        <v>900</v>
      </c>
      <c r="E29" s="3">
        <v>900</v>
      </c>
      <c r="F29" s="3">
        <f>AVERAGE(D29:E29)</f>
        <v>900</v>
      </c>
      <c r="G29" s="5">
        <v>2.7253696776342378</v>
      </c>
      <c r="H29" t="inlineStr" s="4">
        <is>
          <t xml:space="preserve">&gt;1–3 mi</t>
        </is>
      </c>
      <c r="I29" t="inlineStr" s="4">
        <is>
          <t xml:space="preserve">Structured utility fields + saved description</t>
        </is>
      </c>
      <c r="J29" t="inlineStr" s="4">
        <is>
          <t xml:space="preserve">Electricity; Gas; Heat; Trash Removal; Water/Sewer</t>
        </is>
      </c>
      <c r="K29" t="inlineStr" s="4">
        <is>
          <t xml:space="preserve">Yes</t>
        </is>
      </c>
      <c r="L29" t="inlineStr" s="4">
        <is>
          <t xml:space="preserve">Electricity: Included
Gas: Included
Heat: Included
High-Speed Internet: Included
Recycling: Included
Trash Removal: Included
Water/Sewer: Included</t>
        </is>
      </c>
      <c r="M29" t="inlineStr" s="4">
        <is>
          <t xml:space="preserve">Internet and utilities are included as well as garage parking and access to the neighborhood pool.</t>
        </is>
      </c>
      <c r="N29" t="inlineStr" s="4">
        <is>
          <t xml:space="preserve">No</t>
        </is>
      </c>
      <c r="O29" t="inlineStr" s="4">
        <is>
          <t xml:space="preserve"/>
        </is>
      </c>
      <c r="P29" t="inlineStr" s="4">
        <is>
          <t xml:space="preserve"/>
        </is>
      </c>
      <c r="Q29" t="inlineStr" s="4">
        <is>
          <t xml:space="preserve">None</t>
        </is>
      </c>
      <c r="R29" t="inlineStr" s="4">
        <is>
          <t xml:space="preserve">https://offcampus.dasa.ncsu.edu/housing/property/spacious-en-suite-with-private-patio-and-garage-parking-in-crescent-ridge-townhome-community/ocpsd8dpj6</t>
        </is>
      </c>
    </row>
    <row r="30">
      <c r="A30" t="inlineStr" s="4">
        <is>
          <t xml:space="preserve">ocp2gxtxqc</t>
        </is>
      </c>
      <c r="B30" t="inlineStr" s="4">
        <is>
          <t xml:space="preserve">The Station</t>
        </is>
      </c>
      <c r="C30" t="inlineStr" s="4">
        <is>
          <t xml:space="preserve">$969</t>
        </is>
      </c>
      <c r="D30" s="3">
        <v>969</v>
      </c>
      <c r="E30" s="3">
        <v>969</v>
      </c>
      <c r="F30" s="3">
        <f>AVERAGE(D30:E30)</f>
        <v>969</v>
      </c>
      <c r="G30" s="5">
        <v>2.1529092184352425</v>
      </c>
      <c r="H30" t="inlineStr" s="4">
        <is>
          <t xml:space="preserve">&gt;1–3 mi</t>
        </is>
      </c>
      <c r="I30" t="inlineStr" s="4">
        <is>
          <t xml:space="preserve">Saved description</t>
        </is>
      </c>
      <c r="J30" t="inlineStr" s="4">
        <is>
          <t xml:space="preserve"/>
        </is>
      </c>
      <c r="K30" t="inlineStr" s="4">
        <is>
          <t xml:space="preserve">No</t>
        </is>
      </c>
      <c r="L30" t="inlineStr" s="4">
        <is>
          <t xml:space="preserve"/>
        </is>
      </c>
      <c r="M30" t="inlineStr" s="4">
        <is>
          <t xml:space="preserve">The unit includes in-unit laundry, parking, and utilities are included, making it super convenient and hassle-free.</t>
        </is>
      </c>
      <c r="N30" t="inlineStr" s="4">
        <is>
          <t xml:space="preserve">No</t>
        </is>
      </c>
      <c r="O30" t="inlineStr" s="4">
        <is>
          <t xml:space="preserve"/>
        </is>
      </c>
      <c r="P30" t="inlineStr" s="4">
        <is>
          <t xml:space="preserve"/>
        </is>
      </c>
      <c r="Q30" t="inlineStr" s="4">
        <is>
          <t xml:space="preserve">None</t>
        </is>
      </c>
      <c r="R30" t="inlineStr" s="4">
        <is>
          <t xml:space="preserve">https://offcampus.dasa.ncsu.edu/housing/property/the-station/ocp2gxtxqc</t>
        </is>
      </c>
    </row>
    <row r="31">
      <c r="A31" t="inlineStr" s="4">
        <is>
          <t xml:space="preserve">ocppbmmgnt</t>
        </is>
      </c>
      <c r="B31" t="inlineStr" s="4">
        <is>
          <t xml:space="preserve">5 bedroom townhome available near NC State</t>
        </is>
      </c>
      <c r="C31" t="inlineStr" s="4">
        <is>
          <t xml:space="preserve">$650</t>
        </is>
      </c>
      <c r="D31" s="3">
        <v>650</v>
      </c>
      <c r="E31" s="3">
        <v>650</v>
      </c>
      <c r="F31" s="3">
        <f>AVERAGE(D31:E31)</f>
        <v>650</v>
      </c>
      <c r="G31" s="5">
        <v>2.375235558770843</v>
      </c>
      <c r="H31" t="inlineStr" s="4">
        <is>
          <t xml:space="preserve">&gt;1–3 mi</t>
        </is>
      </c>
      <c r="I31" t="inlineStr" s="4">
        <is>
          <t xml:space="preserve">Structured utility fields</t>
        </is>
      </c>
      <c r="J31" t="inlineStr" s="4">
        <is>
          <t xml:space="preserve">Trash Removal</t>
        </is>
      </c>
      <c r="K31" t="inlineStr" s="4">
        <is>
          <t xml:space="preserve">No</t>
        </is>
      </c>
      <c r="L31" t="inlineStr" s="4">
        <is>
          <t xml:space="preserve">Recycling: Included
Trash Removal: Included</t>
        </is>
      </c>
      <c r="M31" t="inlineStr" s="4">
        <is>
          <t xml:space="preserve"/>
        </is>
      </c>
      <c r="N31" t="inlineStr" s="4">
        <is>
          <t xml:space="preserve">No</t>
        </is>
      </c>
      <c r="O31" t="inlineStr" s="4">
        <is>
          <t xml:space="preserve"/>
        </is>
      </c>
      <c r="P31" t="inlineStr" s="4">
        <is>
          <t xml:space="preserve"/>
        </is>
      </c>
      <c r="Q31" t="inlineStr" s="4">
        <is>
          <t xml:space="preserve">None</t>
        </is>
      </c>
      <c r="R31" t="inlineStr" s="4">
        <is>
          <t xml:space="preserve">https://offcampus.dasa.ncsu.edu/housing/property/5-bedroom-townhome-available-near-nc-state/ocppbmmgnt</t>
        </is>
      </c>
    </row>
    <row r="32">
      <c r="A32" t="inlineStr" s="4">
        <is>
          <t xml:space="preserve">ocpx51p4tm</t>
        </is>
      </c>
      <c r="B32" t="inlineStr" s="4">
        <is>
          <t xml:space="preserve">Condo near NCSU</t>
        </is>
      </c>
      <c r="C32" t="inlineStr" s="4">
        <is>
          <t xml:space="preserve">$800</t>
        </is>
      </c>
      <c r="D32" s="3">
        <v>800</v>
      </c>
      <c r="E32" s="3">
        <v>800</v>
      </c>
      <c r="F32" s="3">
        <f>AVERAGE(D32:E32)</f>
        <v>800</v>
      </c>
      <c r="G32" s="5">
        <v>1.6254323607288876</v>
      </c>
      <c r="H32" t="inlineStr" s="4">
        <is>
          <t xml:space="preserve">&gt;1–3 mi</t>
        </is>
      </c>
      <c r="I32" t="inlineStr" s="4">
        <is>
          <t xml:space="preserve">Saved description</t>
        </is>
      </c>
      <c r="J32" t="inlineStr" s="4">
        <is>
          <t xml:space="preserve"/>
        </is>
      </c>
      <c r="K32" t="inlineStr" s="4">
        <is>
          <t xml:space="preserve">No</t>
        </is>
      </c>
      <c r="L32" t="inlineStr" s="4">
        <is>
          <t xml:space="preserve"/>
        </is>
      </c>
      <c r="M32" t="inlineStr" s="4">
        <is>
          <t xml:space="preserve">All utilities (wifi, electricity, water) are included.</t>
        </is>
      </c>
      <c r="N32" t="inlineStr" s="4">
        <is>
          <t xml:space="preserve">No</t>
        </is>
      </c>
      <c r="O32" t="inlineStr" s="4">
        <is>
          <t xml:space="preserve"/>
        </is>
      </c>
      <c r="P32" t="inlineStr" s="4">
        <is>
          <t xml:space="preserve"/>
        </is>
      </c>
      <c r="Q32" t="inlineStr" s="4">
        <is>
          <t xml:space="preserve">None</t>
        </is>
      </c>
      <c r="R32" t="inlineStr" s="4">
        <is>
          <t xml:space="preserve">https://offcampus.dasa.ncsu.edu/housing/property/condo-near-ncsu/ocpx51p4tm</t>
        </is>
      </c>
    </row>
    <row r="33">
      <c r="A33" t="inlineStr" s="4">
        <is>
          <t xml:space="preserve">ocphdtdgk2</t>
        </is>
      </c>
      <c r="B33" t="inlineStr" s="4">
        <is>
          <t xml:space="preserve">105 Friendly Drive! Furnished Room Rentals with Utilities!</t>
        </is>
      </c>
      <c r="C33" t="inlineStr" s="4">
        <is>
          <t xml:space="preserve">$775 - $1,050</t>
        </is>
      </c>
      <c r="D33" s="3">
        <v>775</v>
      </c>
      <c r="E33" s="3">
        <v>1050</v>
      </c>
      <c r="F33" s="3">
        <f>AVERAGE(D33:E33)</f>
        <v>912.5</v>
      </c>
      <c r="G33" s="5">
        <v>0.7343021957287743</v>
      </c>
      <c r="H33" t="inlineStr" s="4">
        <is>
          <t xml:space="preserve">0–1 mi</t>
        </is>
      </c>
      <c r="I33" t="inlineStr" s="4">
        <is>
          <t xml:space="preserve">Structured utility fields + saved description</t>
        </is>
      </c>
      <c r="J33" t="inlineStr" s="4">
        <is>
          <t xml:space="preserve">Electricity; Heat; Trash Removal; Water/Sewer</t>
        </is>
      </c>
      <c r="K33" t="inlineStr" s="4">
        <is>
          <t xml:space="preserve">No</t>
        </is>
      </c>
      <c r="L33" t="inlineStr" s="4">
        <is>
          <t xml:space="preserve">Cable: Included
Electricity: Included
Heat: Included
High-Speed Internet: Included
Trash Removal: Included
Water/Sewer: Included</t>
        </is>
      </c>
      <c r="M33" t="inlineStr" s="4">
        <is>
          <t xml:space="preserve">High-Speed Internet &amp; Utilities INCLUDED – Stay connected and stress-free.</t>
        </is>
      </c>
      <c r="N33" t="inlineStr" s="4">
        <is>
          <t xml:space="preserve">No</t>
        </is>
      </c>
      <c r="O33" t="inlineStr" s="4">
        <is>
          <t xml:space="preserve"/>
        </is>
      </c>
      <c r="P33" t="inlineStr" s="4">
        <is>
          <t xml:space="preserve"/>
        </is>
      </c>
      <c r="Q33" t="inlineStr" s="4">
        <is>
          <t xml:space="preserve">$10</t>
        </is>
      </c>
      <c r="R33" t="inlineStr" s="4">
        <is>
          <t xml:space="preserve">https://offcampus.dasa.ncsu.edu/housing/property/105-friendly-drive-furnished-room-rentals-with-utilities/ocphdtdgk2</t>
        </is>
      </c>
    </row>
    <row r="34">
      <c r="A34" t="inlineStr" s="4">
        <is>
          <t xml:space="preserve">ocp4lh373j</t>
        </is>
      </c>
      <c r="B34" t="inlineStr" s="4">
        <is>
          <t xml:space="preserve">Hub Raleigh – 4x2 Lease Takeover, Available Now</t>
        </is>
      </c>
      <c r="C34" t="inlineStr" s="4">
        <is>
          <t xml:space="preserve">$1,199</t>
        </is>
      </c>
      <c r="D34" s="3">
        <v>1199</v>
      </c>
      <c r="E34" s="3">
        <v>1199</v>
      </c>
      <c r="F34" s="3">
        <f>AVERAGE(D34:E34)</f>
        <v>1199</v>
      </c>
      <c r="G34" s="5">
        <v>1.2495758683530125</v>
      </c>
      <c r="H34" t="inlineStr" s="4">
        <is>
          <t xml:space="preserve">&gt;1–3 mi</t>
        </is>
      </c>
      <c r="I34" t="inlineStr" s="4">
        <is>
          <t xml:space="preserve">Saved description</t>
        </is>
      </c>
      <c r="J34" t="inlineStr" s="4">
        <is>
          <t xml:space="preserve"/>
        </is>
      </c>
      <c r="K34" t="inlineStr" s="4">
        <is>
          <t xml:space="preserve">No</t>
        </is>
      </c>
      <c r="L34" t="inlineStr" s="4">
        <is>
          <t xml:space="preserve"/>
        </is>
      </c>
      <c r="M34" t="inlineStr" s="4">
        <is>
          <t xml:space="preserve">This is a 4 bedroom / 2 bathroom furnished unit with utilities included in rent ($1,199/month); parking is available separately if needed.</t>
        </is>
      </c>
      <c r="N34" t="inlineStr" s="4">
        <is>
          <t xml:space="preserve">No</t>
        </is>
      </c>
      <c r="O34" t="inlineStr" s="4">
        <is>
          <t xml:space="preserve"/>
        </is>
      </c>
      <c r="P34" t="inlineStr" s="4">
        <is>
          <t xml:space="preserve"/>
        </is>
      </c>
      <c r="Q34" t="inlineStr" s="4">
        <is>
          <t xml:space="preserve">None</t>
        </is>
      </c>
      <c r="R34" t="inlineStr" s="4">
        <is>
          <t xml:space="preserve">https://offcampus.dasa.ncsu.edu/housing/property/hub-raleigh-4x2-lease-takeover-available-now/ocp4lh373j</t>
        </is>
      </c>
    </row>
    <row r="35">
      <c r="A35" t="inlineStr" s="4">
        <is>
          <t xml:space="preserve">se736e5</t>
        </is>
      </c>
      <c r="B35" t="inlineStr" s="4">
        <is>
          <t xml:space="preserve">College Inn</t>
        </is>
      </c>
      <c r="C35" t="inlineStr" s="4">
        <is>
          <t xml:space="preserve">$859 - $1,275</t>
        </is>
      </c>
      <c r="D35" s="3">
        <v>859</v>
      </c>
      <c r="E35" s="3">
        <v>1275</v>
      </c>
      <c r="F35" s="3">
        <f>AVERAGE(D35:E35)</f>
        <v>1067</v>
      </c>
      <c r="G35" s="5">
        <v>0.2464607774894674</v>
      </c>
      <c r="H35" t="inlineStr" s="4">
        <is>
          <t xml:space="preserve">0–1 mi</t>
        </is>
      </c>
      <c r="I35" t="inlineStr" s="4">
        <is>
          <t xml:space="preserve">Structured utility fields</t>
        </is>
      </c>
      <c r="J35" t="inlineStr" s="4">
        <is>
          <t xml:space="preserve">Electricity; Gas; Heat; Water/Sewer</t>
        </is>
      </c>
      <c r="K35" t="inlineStr" s="4">
        <is>
          <t xml:space="preserve">No</t>
        </is>
      </c>
      <c r="L35" t="inlineStr" s="4">
        <is>
          <t xml:space="preserve">Electricity: Included
Gas: Included
Heat: Included
High-Speed Internet: Included
Water/Sewer: Included</t>
        </is>
      </c>
      <c r="M35" t="inlineStr" s="4">
        <is>
          <t xml:space="preserve"/>
        </is>
      </c>
      <c r="N35" t="inlineStr" s="4">
        <is>
          <t xml:space="preserve">No</t>
        </is>
      </c>
      <c r="O35" t="inlineStr" s="4">
        <is>
          <t xml:space="preserve"/>
        </is>
      </c>
      <c r="P35" t="inlineStr" s="4">
        <is>
          <t xml:space="preserve"/>
        </is>
      </c>
      <c r="Q35" t="inlineStr" s="4">
        <is>
          <t xml:space="preserve">Not reported</t>
        </is>
      </c>
      <c r="R35" t="inlineStr" s="4">
        <is>
          <t xml:space="preserve">https://offcampus.dasa.ncsu.edu/housing/property/college-inn/se736e5</t>
        </is>
      </c>
    </row>
    <row r="36">
      <c r="A36" t="inlineStr" s="4">
        <is>
          <t xml:space="preserve">ocp0gblz91</t>
        </is>
      </c>
      <c r="B36" t="inlineStr" s="4">
        <is>
          <t xml:space="preserve">Great value in beautiful SW Raleigh</t>
        </is>
      </c>
      <c r="C36" t="inlineStr" s="4">
        <is>
          <t xml:space="preserve">$850</t>
        </is>
      </c>
      <c r="D36" s="3">
        <v>850</v>
      </c>
      <c r="E36" s="3">
        <v>850</v>
      </c>
      <c r="F36" s="3">
        <f>AVERAGE(D36:E36)</f>
        <v>850</v>
      </c>
      <c r="G36" s="5">
        <v>3.494769247784064</v>
      </c>
      <c r="H36" t="inlineStr" s="4">
        <is>
          <t xml:space="preserve">&gt;3–5 mi</t>
        </is>
      </c>
      <c r="I36" t="inlineStr" s="4">
        <is>
          <t xml:space="preserve">Saved description</t>
        </is>
      </c>
      <c r="J36" t="inlineStr" s="4">
        <is>
          <t xml:space="preserve"/>
        </is>
      </c>
      <c r="K36" t="inlineStr" s="4">
        <is>
          <t xml:space="preserve">No</t>
        </is>
      </c>
      <c r="L36" t="inlineStr" s="4">
        <is>
          <t xml:space="preserve"/>
        </is>
      </c>
      <c r="M36" t="inlineStr" s="4">
        <is>
          <t xml:space="preserve">ALL utilities included (i.e., high speed internet, electricity/gas, water, etc.).</t>
        </is>
      </c>
      <c r="N36" t="inlineStr" s="4">
        <is>
          <t xml:space="preserve">Yes</t>
        </is>
      </c>
      <c r="O36" t="inlineStr" s="4">
        <is>
          <t xml:space="preserve">ALL utilities included (i.e., high speed internet, electricity/gas, water, etc.).</t>
        </is>
      </c>
      <c r="P36" t="inlineStr" s="4">
        <is>
          <t xml:space="preserve">Manual review: saved wording explicitly states all utilities are included/inclusive.</t>
        </is>
      </c>
      <c r="Q36" t="inlineStr" s="4">
        <is>
          <t xml:space="preserve">None</t>
        </is>
      </c>
      <c r="R36" t="inlineStr" s="4">
        <is>
          <t xml:space="preserve">https://offcampus.dasa.ncsu.edu/housing/property/great-value-in-beautiful-sw-raleigh/ocp0gblz91</t>
        </is>
      </c>
    </row>
    <row r="37">
      <c r="A37" t="inlineStr" s="4">
        <is>
          <t xml:space="preserve">ocpteqgjg8</t>
        </is>
      </c>
      <c r="B37" t="inlineStr" s="4">
        <is>
          <t xml:space="preserve">Huge modern studio suite- private entrance and beth- near NCSU</t>
        </is>
      </c>
      <c r="C37" t="inlineStr" s="4">
        <is>
          <t xml:space="preserve">$1,150</t>
        </is>
      </c>
      <c r="D37" s="3">
        <v>1150</v>
      </c>
      <c r="E37" s="3">
        <v>1150</v>
      </c>
      <c r="F37" s="3">
        <f>AVERAGE(D37:E37)</f>
        <v>1150</v>
      </c>
      <c r="G37" s="5">
        <v>2.9698964369461227</v>
      </c>
      <c r="H37" t="inlineStr" s="4">
        <is>
          <t xml:space="preserve">&gt;1–3 mi</t>
        </is>
      </c>
      <c r="I37" t="inlineStr" s="4">
        <is>
          <t xml:space="preserve">Saved description</t>
        </is>
      </c>
      <c r="J37" t="inlineStr" s="4">
        <is>
          <t xml:space="preserve"/>
        </is>
      </c>
      <c r="K37" t="inlineStr" s="4">
        <is>
          <t xml:space="preserve">No</t>
        </is>
      </c>
      <c r="L37" t="inlineStr" s="4">
        <is>
          <t xml:space="preserve"/>
        </is>
      </c>
      <c r="M37" t="inlineStr" s="4">
        <is>
          <t xml:space="preserve">Stress-Free Living: Rent includes electricity, water, gas, trash, and ultra-high-speed Wi-Fi (capped at reasonable monthly usage).</t>
        </is>
      </c>
      <c r="N37" t="inlineStr" s="4">
        <is>
          <t xml:space="preserve">No</t>
        </is>
      </c>
      <c r="O37" t="inlineStr" s="4">
        <is>
          <t xml:space="preserve"/>
        </is>
      </c>
      <c r="P37" t="inlineStr" s="4">
        <is>
          <t xml:space="preserve"/>
        </is>
      </c>
      <c r="Q37" t="inlineStr" s="4">
        <is>
          <t xml:space="preserve">None</t>
        </is>
      </c>
      <c r="R37" t="inlineStr" s="4">
        <is>
          <t xml:space="preserve">https://offcampus.dasa.ncsu.edu/housing/property/huge-modern-studio-suite-private-entrance-and-beth-near-ncsu/ocpteqgjg8</t>
        </is>
      </c>
    </row>
    <row r="38">
      <c r="A38" t="inlineStr" s="4">
        <is>
          <t xml:space="preserve">ocp4t7wmxk</t>
        </is>
      </c>
      <c r="B38" t="inlineStr" s="4">
        <is>
          <t xml:space="preserve">University Oaks</t>
        </is>
      </c>
      <c r="C38" t="inlineStr" s="4">
        <is>
          <t xml:space="preserve">$725</t>
        </is>
      </c>
      <c r="D38" s="3">
        <v>725</v>
      </c>
      <c r="E38" s="3">
        <v>725</v>
      </c>
      <c r="F38" s="3">
        <f>AVERAGE(D38:E38)</f>
        <v>725</v>
      </c>
      <c r="G38" s="5">
        <v>0.45691440711796516</v>
      </c>
      <c r="H38" t="inlineStr" s="4">
        <is>
          <t xml:space="preserve">0–1 mi</t>
        </is>
      </c>
      <c r="I38" t="inlineStr" s="4">
        <is>
          <t xml:space="preserve">Saved description</t>
        </is>
      </c>
      <c r="J38" t="inlineStr" s="4">
        <is>
          <t xml:space="preserve"/>
        </is>
      </c>
      <c r="K38" t="inlineStr" s="4">
        <is>
          <t xml:space="preserve">No</t>
        </is>
      </c>
      <c r="L38" t="inlineStr" s="4">
        <is>
          <t xml:space="preserve"/>
        </is>
      </c>
      <c r="M38" t="inlineStr" s="4">
        <is>
          <t xml:space="preserve">Utilities included: Water, WiFi, and electricity!</t>
        </is>
      </c>
      <c r="N38" t="inlineStr" s="4">
        <is>
          <t xml:space="preserve">No</t>
        </is>
      </c>
      <c r="O38" t="inlineStr" s="4">
        <is>
          <t xml:space="preserve"/>
        </is>
      </c>
      <c r="P38" t="inlineStr" s="4">
        <is>
          <t xml:space="preserve"/>
        </is>
      </c>
      <c r="Q38" t="inlineStr" s="4">
        <is>
          <t xml:space="preserve">None</t>
        </is>
      </c>
      <c r="R38" t="inlineStr" s="4">
        <is>
          <t xml:space="preserve">https://offcampus.dasa.ncsu.edu/housing/property/university-oaks/ocp4t7wmxk</t>
        </is>
      </c>
    </row>
    <row r="39">
      <c r="A39" t="inlineStr" s="4">
        <is>
          <t xml:space="preserve">ocpq99qjpx</t>
        </is>
      </c>
      <c r="B39" t="inlineStr" s="4">
        <is>
          <t xml:space="preserve">Apartment close to NCSU</t>
        </is>
      </c>
      <c r="C39" t="inlineStr" s="4">
        <is>
          <t xml:space="preserve">$645</t>
        </is>
      </c>
      <c r="D39" s="3">
        <v>645</v>
      </c>
      <c r="E39" s="3">
        <v>645</v>
      </c>
      <c r="F39" s="3">
        <f>AVERAGE(D39:E39)</f>
        <v>645</v>
      </c>
      <c r="G39" s="5">
        <v>1.6533172431768715</v>
      </c>
      <c r="H39" t="inlineStr" s="4">
        <is>
          <t xml:space="preserve">&gt;1–3 mi</t>
        </is>
      </c>
      <c r="I39" t="inlineStr" s="4">
        <is>
          <t xml:space="preserve">Structured utility fields + saved description</t>
        </is>
      </c>
      <c r="J39" t="inlineStr" s="4">
        <is>
          <t xml:space="preserve">Electricity; Water/Sewer</t>
        </is>
      </c>
      <c r="K39" t="inlineStr" s="4">
        <is>
          <t xml:space="preserve">No</t>
        </is>
      </c>
      <c r="L39" t="inlineStr" s="4">
        <is>
          <t xml:space="preserve">Electricity: Included
Water/Sewer: Included</t>
        </is>
      </c>
      <c r="M39" t="inlineStr" s="4">
        <is>
          <t xml:space="preserve">All appliances and utilities are included in the rent for a hassle-free living experience.</t>
        </is>
      </c>
      <c r="N39" t="inlineStr" s="4">
        <is>
          <t xml:space="preserve">No</t>
        </is>
      </c>
      <c r="O39" t="inlineStr" s="4">
        <is>
          <t xml:space="preserve"/>
        </is>
      </c>
      <c r="P39" t="inlineStr" s="4">
        <is>
          <t xml:space="preserve"/>
        </is>
      </c>
      <c r="Q39" t="inlineStr" s="4">
        <is>
          <t xml:space="preserve">Not reported</t>
        </is>
      </c>
      <c r="R39" t="inlineStr" s="4">
        <is>
          <t xml:space="preserve">https://offcampus.dasa.ncsu.edu/housing/property/apartment-close-to-ncsu/ocpq99qjpx</t>
        </is>
      </c>
    </row>
    <row r="40">
      <c r="A40" t="inlineStr" s="4">
        <is>
          <t xml:space="preserve">ocps6ymwl7</t>
        </is>
      </c>
      <c r="B40" t="inlineStr" s="4">
        <is>
          <t xml:space="preserve">University Woods</t>
        </is>
      </c>
      <c r="C40" t="inlineStr" s="4">
        <is>
          <t xml:space="preserve">$600</t>
        </is>
      </c>
      <c r="D40" s="3">
        <v>600</v>
      </c>
      <c r="E40" s="3">
        <v>600</v>
      </c>
      <c r="F40" s="3">
        <f>AVERAGE(D40:E40)</f>
        <v>600</v>
      </c>
      <c r="G40" s="5">
        <v>2.1236456712085854</v>
      </c>
      <c r="H40" t="inlineStr" s="4">
        <is>
          <t xml:space="preserve">&gt;1–3 mi</t>
        </is>
      </c>
      <c r="I40" t="inlineStr" s="4">
        <is>
          <t xml:space="preserve">Structured utility fields + saved description</t>
        </is>
      </c>
      <c r="J40" t="inlineStr" s="4">
        <is>
          <t xml:space="preserve">Electricity; Water/Sewer</t>
        </is>
      </c>
      <c r="K40" t="inlineStr" s="4">
        <is>
          <t xml:space="preserve">No</t>
        </is>
      </c>
      <c r="L40" t="inlineStr" s="4">
        <is>
          <t xml:space="preserve">Electricity: Included
Water/Sewer: Included</t>
        </is>
      </c>
      <c r="M40" t="inlineStr" s="4">
        <is>
          <t xml:space="preserve">Water and electric are included with a cap.</t>
        </is>
      </c>
      <c r="N40" t="inlineStr" s="4">
        <is>
          <t xml:space="preserve">No</t>
        </is>
      </c>
      <c r="O40" t="inlineStr" s="4">
        <is>
          <t xml:space="preserve"/>
        </is>
      </c>
      <c r="P40" t="inlineStr" s="4">
        <is>
          <t xml:space="preserve"/>
        </is>
      </c>
      <c r="Q40" t="inlineStr" s="4">
        <is>
          <t xml:space="preserve">Not reported</t>
        </is>
      </c>
      <c r="R40" t="inlineStr" s="4">
        <is>
          <t xml:space="preserve">https://offcampus.dasa.ncsu.edu/housing/property/university-woods/ocps6ymwl7</t>
        </is>
      </c>
    </row>
    <row r="41">
      <c r="A41" t="inlineStr" s="4">
        <is>
          <t xml:space="preserve">ocpvgtpebg</t>
        </is>
      </c>
      <c r="B41" t="inlineStr" s="4">
        <is>
          <t xml:space="preserve">Lake Park Condos- Room Rental with Utilities</t>
        </is>
      </c>
      <c r="C41" t="inlineStr" s="4">
        <is>
          <t xml:space="preserve">$500 - $600</t>
        </is>
      </c>
      <c r="D41" s="3">
        <v>500</v>
      </c>
      <c r="E41" s="3">
        <v>600</v>
      </c>
      <c r="F41" s="3">
        <f>AVERAGE(D41:E41)</f>
        <v>550</v>
      </c>
      <c r="G41" s="5">
        <v>1.6373569359044247</v>
      </c>
      <c r="H41" t="inlineStr" s="4">
        <is>
          <t xml:space="preserve">&gt;1–3 mi</t>
        </is>
      </c>
      <c r="I41" t="inlineStr" s="4">
        <is>
          <t xml:space="preserve">Structured utility fields + saved description</t>
        </is>
      </c>
      <c r="J41" t="inlineStr" s="4">
        <is>
          <t xml:space="preserve">Electricity; Water/Sewer</t>
        </is>
      </c>
      <c r="K41" t="inlineStr" s="4">
        <is>
          <t xml:space="preserve">No</t>
        </is>
      </c>
      <c r="L41" t="inlineStr" s="4">
        <is>
          <t xml:space="preserve">Electricity: Included
Water/Sewer: Included</t>
        </is>
      </c>
      <c r="M41" t="inlineStr" s="4">
        <is>
          <t xml:space="preserve">Water and electric are included with a cap.</t>
        </is>
      </c>
      <c r="N41" t="inlineStr" s="4">
        <is>
          <t xml:space="preserve">No</t>
        </is>
      </c>
      <c r="O41" t="inlineStr" s="4">
        <is>
          <t xml:space="preserve"/>
        </is>
      </c>
      <c r="P41" t="inlineStr" s="4">
        <is>
          <t xml:space="preserve"/>
        </is>
      </c>
      <c r="Q41" t="inlineStr" s="4">
        <is>
          <t xml:space="preserve">Not reported</t>
        </is>
      </c>
      <c r="R41" t="inlineStr" s="4">
        <is>
          <t xml:space="preserve">https://offcampus.dasa.ncsu.edu/housing/property/lake-park-condos-room-rental-with-utilities/ocpvgtpebg</t>
        </is>
      </c>
    </row>
    <row r="42">
      <c r="A42" t="inlineStr" s="4">
        <is>
          <t xml:space="preserve">5hme2mn</t>
        </is>
      </c>
      <c r="B42" t="inlineStr" s="4">
        <is>
          <t xml:space="preserve">The Station Raleigh</t>
        </is>
      </c>
      <c r="C42" t="inlineStr" s="4">
        <is>
          <t xml:space="preserve">$749 - $1,930</t>
        </is>
      </c>
      <c r="D42" s="3">
        <v>749</v>
      </c>
      <c r="E42" s="3">
        <v>1930</v>
      </c>
      <c r="F42" s="3">
        <f>AVERAGE(D42:E42)</f>
        <v>1339.5</v>
      </c>
      <c r="G42" s="5">
        <v>2.173712249435797</v>
      </c>
      <c r="H42" t="inlineStr" s="4">
        <is>
          <t xml:space="preserve">&gt;1–3 mi</t>
        </is>
      </c>
      <c r="I42" t="inlineStr" s="4">
        <is>
          <t xml:space="preserve">Structured utility fields</t>
        </is>
      </c>
      <c r="J42" t="inlineStr" s="4">
        <is>
          <t xml:space="preserve">Gas; Heat; Trash Removal; Water/Sewer</t>
        </is>
      </c>
      <c r="K42" t="inlineStr" s="4">
        <is>
          <t xml:space="preserve">No</t>
        </is>
      </c>
      <c r="L42" t="inlineStr" s="4">
        <is>
          <t xml:space="preserve">Air Conditioning: Included
Cable: Included
Gas: Included
Heat: Included
High-Speed Internet: Included
Trash Removal: Included
Water/Sewer: Included</t>
        </is>
      </c>
      <c r="M42" t="inlineStr" s="4">
        <is>
          <t xml:space="preserve"/>
        </is>
      </c>
      <c r="N42" t="inlineStr" s="4">
        <is>
          <t xml:space="preserve">No</t>
        </is>
      </c>
      <c r="O42" t="inlineStr" s="4">
        <is>
          <t xml:space="preserve"/>
        </is>
      </c>
      <c r="P42" t="inlineStr" s="4">
        <is>
          <t xml:space="preserve"/>
        </is>
      </c>
      <c r="Q42" t="inlineStr" s="4">
        <is>
          <t xml:space="preserve">Not reported</t>
        </is>
      </c>
      <c r="R42" t="inlineStr" s="4">
        <is>
          <t xml:space="preserve">https://offcampus.dasa.ncsu.edu/housing/property/the-station-raleigh/5hme2mn</t>
        </is>
      </c>
    </row>
    <row r="43">
      <c r="A43" t="inlineStr" s="4">
        <is>
          <t xml:space="preserve">lpl9fce</t>
        </is>
      </c>
      <c r="B43" t="inlineStr" s="4">
        <is>
          <t xml:space="preserve">2850 Sanderford Rd (Raleigh, NC)</t>
        </is>
      </c>
      <c r="C43" t="inlineStr" s="4">
        <is>
          <t xml:space="preserve">$650</t>
        </is>
      </c>
      <c r="D43" s="3">
        <v>650</v>
      </c>
      <c r="E43" s="3">
        <v>650</v>
      </c>
      <c r="F43" s="3">
        <f>AVERAGE(D43:E43)</f>
        <v>650</v>
      </c>
      <c r="G43" s="5">
        <v>4.772916888366553</v>
      </c>
      <c r="H43" t="inlineStr" s="4">
        <is>
          <t xml:space="preserve">&gt;3–5 mi</t>
        </is>
      </c>
      <c r="I43" t="inlineStr" s="4">
        <is>
          <t xml:space="preserve">Structured utility fields + saved description</t>
        </is>
      </c>
      <c r="J43" t="inlineStr" s="4">
        <is>
          <t xml:space="preserve">Electricity; Trash Removal; Water/Sewer</t>
        </is>
      </c>
      <c r="K43" t="inlineStr" s="4">
        <is>
          <t xml:space="preserve">No</t>
        </is>
      </c>
      <c r="L43" t="inlineStr" s="4">
        <is>
          <t xml:space="preserve">Electricity: Included
Trash Removal: Included
Water/Sewer: Included</t>
        </is>
      </c>
      <c r="M43" t="inlineStr" s="4">
        <is>
          <t xml:space="preserve">Water, sewage, trash, internet and power all included</t>
        </is>
      </c>
      <c r="N43" t="inlineStr" s="4">
        <is>
          <t xml:space="preserve">No</t>
        </is>
      </c>
      <c r="O43" t="inlineStr" s="4">
        <is>
          <t xml:space="preserve"/>
        </is>
      </c>
      <c r="P43" t="inlineStr" s="4">
        <is>
          <t xml:space="preserve"/>
        </is>
      </c>
      <c r="Q43" t="inlineStr" s="4">
        <is>
          <t xml:space="preserve">Not reported</t>
        </is>
      </c>
      <c r="R43" t="inlineStr" s="4">
        <is>
          <t xml:space="preserve">https://offcampus.dasa.ncsu.edu/housing/property/2850-sanderford-rd-raleigh-nc/lpl9fce</t>
        </is>
      </c>
    </row>
    <row r="44">
      <c r="A44" t="inlineStr" s="4">
        <is>
          <t xml:space="preserve">ocp67ldb5s</t>
        </is>
      </c>
      <c r="B44" t="inlineStr" s="4">
        <is>
          <t xml:space="preserve">The Wilde</t>
        </is>
      </c>
      <c r="C44" t="inlineStr" s="4">
        <is>
          <t xml:space="preserve">$860</t>
        </is>
      </c>
      <c r="D44" s="3">
        <v>860</v>
      </c>
      <c r="E44" s="3">
        <v>860</v>
      </c>
      <c r="F44" s="3">
        <f>AVERAGE(D44:E44)</f>
        <v>860</v>
      </c>
      <c r="G44" s="5">
        <v>2.038270327954621</v>
      </c>
      <c r="H44" t="inlineStr" s="4">
        <is>
          <t xml:space="preserve">&gt;1–3 mi</t>
        </is>
      </c>
      <c r="I44" t="inlineStr" s="4">
        <is>
          <t xml:space="preserve">Saved description</t>
        </is>
      </c>
      <c r="J44" t="inlineStr" s="4">
        <is>
          <t xml:space="preserve"/>
        </is>
      </c>
      <c r="K44" t="inlineStr" s="4">
        <is>
          <t xml:space="preserve">No</t>
        </is>
      </c>
      <c r="L44" t="inlineStr" s="4">
        <is>
          <t xml:space="preserve"/>
        </is>
      </c>
      <c r="M44" t="inlineStr" s="4">
        <is>
          <t xml:space="preserve">The $860 rent is all inclusive of fees and utilities outside of 1 time administrative fees.</t>
        </is>
      </c>
      <c r="N44" t="inlineStr" s="4">
        <is>
          <t xml:space="preserve">Yes</t>
        </is>
      </c>
      <c r="O44" t="inlineStr" s="4">
        <is>
          <t xml:space="preserve">The $860 rent is all inclusive of fees and utilities outside of 1 time administrative fees.</t>
        </is>
      </c>
      <c r="P44" t="inlineStr" s="4">
        <is>
          <t xml:space="preserve">Manual review: saved wording explicitly states all utilities are included/inclusive.</t>
        </is>
      </c>
      <c r="Q44" t="inlineStr" s="4">
        <is>
          <t xml:space="preserve">Not reported</t>
        </is>
      </c>
      <c r="R44" t="inlineStr" s="4">
        <is>
          <t xml:space="preserve">https://offcampus.dasa.ncsu.edu/housing/property/the-wilde/ocp67ldb5s</t>
        </is>
      </c>
    </row>
    <row r="45">
      <c r="A45" t="inlineStr" s="4">
        <is>
          <t xml:space="preserve">ocp0psn632</t>
        </is>
      </c>
      <c r="B45" t="inlineStr" s="4">
        <is>
          <t xml:space="preserve">An apartments with 3 bed and 3 bath for NC State Students www.ncstudentsliving.com</t>
        </is>
      </c>
      <c r="C45" t="inlineStr" s="4">
        <is>
          <t xml:space="preserve">$650</t>
        </is>
      </c>
      <c r="D45" s="3">
        <v>650</v>
      </c>
      <c r="E45" s="3">
        <v>650</v>
      </c>
      <c r="F45" s="3">
        <f>AVERAGE(D45:E45)</f>
        <v>650</v>
      </c>
      <c r="G45" s="5">
        <v>2.2620004650064023</v>
      </c>
      <c r="H45" t="inlineStr" s="4">
        <is>
          <t xml:space="preserve">&gt;1–3 mi</t>
        </is>
      </c>
      <c r="I45" t="inlineStr" s="4">
        <is>
          <t xml:space="preserve">Structured utility fields</t>
        </is>
      </c>
      <c r="J45" t="inlineStr" s="4">
        <is>
          <t xml:space="preserve">Trash Removal; Water/Sewer</t>
        </is>
      </c>
      <c r="K45" t="inlineStr" s="4">
        <is>
          <t xml:space="preserve">No</t>
        </is>
      </c>
      <c r="L45" t="inlineStr" s="4">
        <is>
          <t xml:space="preserve">Recycling: Included
Trash Removal: Included
Water/Sewer: Included</t>
        </is>
      </c>
      <c r="M45" t="inlineStr" s="4">
        <is>
          <t xml:space="preserve"/>
        </is>
      </c>
      <c r="N45" t="inlineStr" s="4">
        <is>
          <t xml:space="preserve">No</t>
        </is>
      </c>
      <c r="O45" t="inlineStr" s="4">
        <is>
          <t xml:space="preserve"/>
        </is>
      </c>
      <c r="P45" t="inlineStr" s="4">
        <is>
          <t xml:space="preserve"/>
        </is>
      </c>
      <c r="Q45" t="inlineStr" s="4">
        <is>
          <t xml:space="preserve">Not reported</t>
        </is>
      </c>
      <c r="R45" t="inlineStr" s="4">
        <is>
          <t xml:space="preserve">https://offcampus.dasa.ncsu.edu/housing/property/an-apartments-with-3-bed-and-3-bath-for-nc-state-students-www-ncstudentsliving-com/ocp0psn632</t>
        </is>
      </c>
    </row>
    <row r="46">
      <c r="A46" t="inlineStr" s="4">
        <is>
          <t xml:space="preserve">ocp5lwrmvq</t>
        </is>
      </c>
      <c r="B46" t="inlineStr" s="4">
        <is>
          <t xml:space="preserve">Convenient Kaplan Dr property near NCSU buses, park, grocery, with parking space &amp; private bathroom</t>
        </is>
      </c>
      <c r="C46" t="inlineStr" s="4">
        <is>
          <t xml:space="preserve">$675</t>
        </is>
      </c>
      <c r="D46" s="3">
        <v>675</v>
      </c>
      <c r="E46" s="3">
        <v>675</v>
      </c>
      <c r="F46" s="3">
        <f>AVERAGE(D46:E46)</f>
        <v>675</v>
      </c>
      <c r="G46" s="5">
        <v>0.7168551166717222</v>
      </c>
      <c r="H46" t="inlineStr" s="4">
        <is>
          <t xml:space="preserve">0–1 mi</t>
        </is>
      </c>
      <c r="I46" t="inlineStr" s="4">
        <is>
          <t xml:space="preserve">Saved description</t>
        </is>
      </c>
      <c r="J46" t="inlineStr" s="4">
        <is>
          <t xml:space="preserve"/>
        </is>
      </c>
      <c r="K46" t="inlineStr" s="4">
        <is>
          <t xml:space="preserve">No</t>
        </is>
      </c>
      <c r="L46" t="inlineStr" s="4">
        <is>
          <t xml:space="preserve"/>
        </is>
      </c>
      <c r="M46" t="inlineStr" s="4">
        <is>
          <t xml:space="preserve">Base rent is $675, so listed price is with utilities and internet.</t>
        </is>
      </c>
      <c r="N46" t="inlineStr" s="4">
        <is>
          <t xml:space="preserve">No</t>
        </is>
      </c>
      <c r="O46" t="inlineStr" s="4">
        <is>
          <t xml:space="preserve"/>
        </is>
      </c>
      <c r="P46" t="inlineStr" s="4">
        <is>
          <t xml:space="preserve"/>
        </is>
      </c>
      <c r="Q46" t="inlineStr" s="4">
        <is>
          <t xml:space="preserve">Not reported</t>
        </is>
      </c>
      <c r="R46" t="inlineStr" s="4">
        <is>
          <t xml:space="preserve">https://offcampus.dasa.ncsu.edu/housing/property/convenient-kaplan-dr-property-near-ncsu-buses-park-grocery-with-parking-space-and-private-bathroom/ocp5lwrmvq</t>
        </is>
      </c>
    </row>
    <row r="48">
      <c r="A48" t="inlineStr" s="6">
        <is>
          <t xml:space="preserve">COUNT</t>
        </is>
      </c>
      <c r="B48" t="inlineStr" s="6">
        <is>
          <t xml:space="preserve">Listing count</t>
        </is>
      </c>
      <c r="D48" s="6">
        <f>COUNT(D6:D46)</f>
        <v>41</v>
      </c>
      <c r="E48" s="6">
        <f>COUNT(E6:E46)</f>
        <v>41</v>
      </c>
      <c r="F48" s="6">
        <f>COUNT(F6:F46)</f>
        <v>41</v>
      </c>
    </row>
    <row r="49">
      <c r="A49" t="inlineStr" s="6">
        <is>
          <t xml:space="preserve">SUM</t>
        </is>
      </c>
      <c r="B49" t="inlineStr" s="6">
        <is>
          <t xml:space="preserve">Sum of advertised listing values</t>
        </is>
      </c>
      <c r="D49" s="7">
        <f>SUM(D6:D46)</f>
        <v>33402</v>
      </c>
      <c r="E49" s="7">
        <f>SUM(E6:E46)</f>
        <v>38603</v>
      </c>
      <c r="F49" s="7">
        <f>SUM(F6:F46)</f>
        <v>36002.5</v>
      </c>
    </row>
    <row r="50">
      <c r="A50" t="inlineStr" s="6">
        <is>
          <t xml:space="preserve">MEAN</t>
        </is>
      </c>
      <c r="B50" t="inlineStr" s="6">
        <is>
          <t xml:space="preserve">Mean advertised rent</t>
        </is>
      </c>
      <c r="D50" s="7">
        <f>AVERAGE(D6:D46)</f>
        <v>814.6829268292682</v>
      </c>
      <c r="E50" s="7">
        <f>AVERAGE(E6:E46)</f>
        <v>941.5365853658536</v>
      </c>
      <c r="F50" s="7">
        <f>AVERAGE(F6:F46)</f>
        <v>878.109756097561</v>
      </c>
    </row>
    <row r="51">
      <c r="A51" t="inlineStr" s="6">
        <is>
          <t xml:space="preserve">SUM ÷ COUNT CHECK</t>
        </is>
      </c>
      <c r="B51" t="inlineStr" s="6">
        <is>
          <t xml:space="preserve">Same mean calculated explicitly</t>
        </is>
      </c>
      <c r="D51" s="7">
        <f>D49/D48</f>
        <v>814.6829268292682</v>
      </c>
      <c r="E51" s="7">
        <f>E49/E48</f>
        <v>941.5365853658536</v>
      </c>
      <c r="F51" s="7">
        <f>F49/F48</f>
        <v>878.109756097561</v>
      </c>
    </row>
  </sheetData>
  <mergeCells count="2">
    <mergeCell ref="A1:R1"/>
    <mergeCell ref="A2:R2"/>
  </mergeCells>
  <autoFilter ref="A5:R46"/>
</worksheet>
</file>

<file path=xl/worksheets/sheet2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14" customWidth="1"/>
    <col min="2" max="2" width="34" customWidth="1"/>
    <col min="3" max="3" width="15" customWidth="1"/>
    <col min="4" max="6" width="12" customWidth="1"/>
    <col min="7" max="7" width="12" customWidth="1"/>
    <col min="8" max="8" width="11" customWidth="1"/>
    <col min="9" max="9" width="28" customWidth="1"/>
    <col min="10" max="10" width="26" customWidth="1"/>
    <col min="11" max="11" width="14" customWidth="1"/>
    <col min="12" max="12" width="34" customWidth="1"/>
    <col min="13" max="13" width="48" customWidth="1"/>
    <col min="14" max="14" width="16" customWidth="1"/>
    <col min="15" max="15" width="44" customWidth="1"/>
    <col min="16" max="16" width="42" customWidth="1"/>
    <col min="17" max="17" width="21" customWidth="1"/>
    <col min="18" max="18" width="42" customWidth="1"/>
  </cols>
  <sheetData>
    <row r="1" ht="25" customHeight="1">
      <c r="A1" t="inlineStr" s="1">
        <is>
          <t xml:space="preserve">NC State Room Utilities Audit — Explicitly States All Utilities Included</t>
        </is>
      </c>
    </row>
    <row r="2" ht="44" customHeight="1">
      <c r="A2" t="inlineStr" s="4">
        <is>
          <t xml:space="preserve">8 of 76 room listings were manually classified from explicit saved wording that all utilities are included or the rent is inclusive of all utilities. This is separate from the portal checkbox cross-check; seven listings have all five selected core structured fields marked Included.</t>
        </is>
      </c>
    </row>
    <row r="5" ht="32" customHeight="1">
      <c r="A5" t="inlineStr" s="2">
        <is>
          <t xml:space="preserve">Listing ID</t>
        </is>
      </c>
      <c r="B5" t="inlineStr" s="2">
        <is>
          <t xml:space="preserve">Listing</t>
        </is>
      </c>
      <c r="C5" t="inlineStr" s="2">
        <is>
          <t xml:space="preserve">Advertised price</t>
        </is>
      </c>
      <c r="D5" t="inlineStr" s="2">
        <is>
          <t xml:space="preserve">Rent low</t>
        </is>
      </c>
      <c r="E5" t="inlineStr" s="2">
        <is>
          <t xml:space="preserve">Rent high</t>
        </is>
      </c>
      <c r="F5" t="inlineStr" s="2">
        <is>
          <t xml:space="preserve">Midpoint</t>
        </is>
      </c>
      <c r="G5" t="inlineStr" s="2">
        <is>
          <t xml:space="preserve">Distance (mi)</t>
        </is>
      </c>
      <c r="H5" t="inlineStr" s="2">
        <is>
          <t xml:space="preserve">Band</t>
        </is>
      </c>
      <c r="I5" t="inlineStr" s="2">
        <is>
          <t xml:space="preserve">Classification basis</t>
        </is>
      </c>
      <c r="J5" t="inlineStr" s="2">
        <is>
          <t xml:space="preserve">Core structured utilities included</t>
        </is>
      </c>
      <c r="K5" t="inlineStr" s="2">
        <is>
          <t xml:space="preserve">All 5 core structured?</t>
        </is>
      </c>
      <c r="L5" t="inlineStr" s="2">
        <is>
          <t xml:space="preserve">Portal utility line items — verbatim</t>
        </is>
      </c>
      <c r="M5" t="inlineStr" s="2">
        <is>
          <t xml:space="preserve">Description utility wording — verbatim</t>
        </is>
      </c>
      <c r="N5" t="inlineStr" s="2">
        <is>
          <t xml:space="preserve">All utilities manual?</t>
        </is>
      </c>
      <c r="O5" t="inlineStr" s="2">
        <is>
          <t xml:space="preserve">Exact all-utilities wording</t>
        </is>
      </c>
      <c r="P5" t="inlineStr" s="2">
        <is>
          <t xml:space="preserve">Manual review note</t>
        </is>
      </c>
      <c r="Q5" t="inlineStr" s="2">
        <is>
          <t xml:space="preserve">Required monthly fees (portal)</t>
        </is>
      </c>
      <c r="R5" t="inlineStr" s="2">
        <is>
          <t xml:space="preserve">Original listing URL</t>
        </is>
      </c>
    </row>
    <row r="6">
      <c r="A6" t="inlineStr" s="4">
        <is>
          <t xml:space="preserve">ocpw46rjcl</t>
        </is>
      </c>
      <c r="B6" t="inlineStr" s="4">
        <is>
          <t xml:space="preserve">Brand New Luxury Furnished Townhome | 4 Bed /  3.5 Bath | 5 Min to NC State &amp; 3 Mins to Fenton +shop</t>
        </is>
      </c>
      <c r="C6" t="inlineStr" s="4">
        <is>
          <t xml:space="preserve">$900 - $1,050</t>
        </is>
      </c>
      <c r="D6" s="3">
        <v>900</v>
      </c>
      <c r="E6" s="3">
        <v>1050</v>
      </c>
      <c r="F6" s="3">
        <f>AVERAGE(D6:E6)</f>
        <v>975</v>
      </c>
      <c r="G6" s="5">
        <v>3.3349970297971607</v>
      </c>
      <c r="H6" t="inlineStr" s="4">
        <is>
          <t xml:space="preserve">&gt;3–5 mi</t>
        </is>
      </c>
      <c r="I6" t="inlineStr" s="4">
        <is>
          <t xml:space="preserve">Saved description</t>
        </is>
      </c>
      <c r="J6" t="inlineStr" s="4">
        <is>
          <t xml:space="preserve"/>
        </is>
      </c>
      <c r="K6" t="inlineStr" s="4">
        <is>
          <t xml:space="preserve">No</t>
        </is>
      </c>
      <c r="L6" t="inlineStr" s="4">
        <is>
          <t xml:space="preserve"/>
        </is>
      </c>
      <c r="M6" t="inlineStr" s="4">
        <is>
          <t xml:space="preserve">All utilities included
High-speed internet included</t>
        </is>
      </c>
      <c r="N6" t="inlineStr" s="4">
        <is>
          <t xml:space="preserve">Yes</t>
        </is>
      </c>
      <c r="O6" t="inlineStr" s="4">
        <is>
          <t xml:space="preserve">All utilities included</t>
        </is>
      </c>
      <c r="P6" t="inlineStr" s="4">
        <is>
          <t xml:space="preserve">Manual review: saved wording explicitly states all utilities are included/inclusive.</t>
        </is>
      </c>
      <c r="Q6" t="inlineStr" s="4">
        <is>
          <t xml:space="preserve">None</t>
        </is>
      </c>
      <c r="R6" t="inlineStr" s="4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 s="4">
        <is>
          <t xml:space="preserve">ocpchygggd</t>
        </is>
      </c>
      <c r="B7" t="inlineStr" s="4">
        <is>
          <t xml:space="preserve">Hurry 2 Rooms Left! – 4BR/4BA Condo Near NC State  – All Utilities &amp; Internet Included!</t>
        </is>
      </c>
      <c r="C7" t="inlineStr" s="4">
        <is>
          <t xml:space="preserve">$695</t>
        </is>
      </c>
      <c r="D7" s="3">
        <v>695</v>
      </c>
      <c r="E7" s="3">
        <v>695</v>
      </c>
      <c r="F7" s="3">
        <f>AVERAGE(D7:E7)</f>
        <v>695</v>
      </c>
      <c r="G7" s="5">
        <v>2.1923662982834173</v>
      </c>
      <c r="H7" t="inlineStr" s="4">
        <is>
          <t xml:space="preserve">&gt;1–3 mi</t>
        </is>
      </c>
      <c r="I7" t="inlineStr" s="4">
        <is>
          <t xml:space="preserve">Structured utility fields + saved description</t>
        </is>
      </c>
      <c r="J7" t="inlineStr" s="4">
        <is>
          <t xml:space="preserve">Electricity; Gas; Heat; Trash Removal; Water/Sewer</t>
        </is>
      </c>
      <c r="K7" t="inlineStr" s="4">
        <is>
          <t xml:space="preserve">Yes</t>
        </is>
      </c>
      <c r="L7" t="inlineStr" s="4">
        <is>
          <t xml:space="preserve">Electricity: Included
Gas: Included
Heat: Included
High-Speed Internet: Included
Recycling: Included
Trash Removal: Included
Water/Sewer: Included</t>
        </is>
      </c>
      <c r="M7" t="inlineStr" s="4">
        <is>
          <t xml:space="preserve">Rent is $695 per month per room and includes all utilities (electricity, water, and internet), with no hidden fees.</t>
        </is>
      </c>
      <c r="N7" t="inlineStr" s="4">
        <is>
          <t xml:space="preserve">Yes</t>
        </is>
      </c>
      <c r="O7" t="inlineStr" s="4">
        <is>
          <t xml:space="preserve">Rent is $695 per month per room and includes all utilities (electricity, water, and internet), with no hidden fees.</t>
        </is>
      </c>
      <c r="P7" t="inlineStr" s="4">
        <is>
          <t xml:space="preserve">Manual review: saved wording explicitly states all utilities are included/inclusive.</t>
        </is>
      </c>
      <c r="Q7" t="inlineStr" s="4">
        <is>
          <t xml:space="preserve">None</t>
        </is>
      </c>
      <c r="R7" t="inlineStr" s="4">
        <is>
          <t xml:space="preserve">https://offcampus.dasa.ncsu.edu/housing/property/hurry-2-rooms-left-4br-4ba-condo-near-nc-state-all-utilities-and-internet-included/ocpchygggd</t>
        </is>
      </c>
    </row>
    <row r="8">
      <c r="A8" t="inlineStr" s="4">
        <is>
          <t xml:space="preserve">ocpesl9n3p</t>
        </is>
      </c>
      <c r="B8" t="inlineStr" s="4">
        <is>
          <t xml:space="preserve">maisonNC --- Fully Furnished minutes away from Wolfline and Shopping</t>
        </is>
      </c>
      <c r="C8" t="inlineStr" s="4">
        <is>
          <t xml:space="preserve">$750</t>
        </is>
      </c>
      <c r="D8" s="3">
        <v>750</v>
      </c>
      <c r="E8" s="3">
        <v>750</v>
      </c>
      <c r="F8" s="3">
        <f>AVERAGE(D8:E8)</f>
        <v>750</v>
      </c>
      <c r="G8" s="5">
        <v>1.6193493622807462</v>
      </c>
      <c r="H8" t="inlineStr" s="4">
        <is>
          <t xml:space="preserve">&gt;1–3 mi</t>
        </is>
      </c>
      <c r="I8" t="inlineStr" s="4">
        <is>
          <t xml:space="preserve">Saved description</t>
        </is>
      </c>
      <c r="J8" t="inlineStr" s="4">
        <is>
          <t xml:space="preserve"/>
        </is>
      </c>
      <c r="K8" t="inlineStr" s="4">
        <is>
          <t xml:space="preserve">No</t>
        </is>
      </c>
      <c r="L8" t="inlineStr" s="4">
        <is>
          <t xml:space="preserve"/>
        </is>
      </c>
      <c r="M8" t="inlineStr" s="4">
        <is>
          <t xml:space="preserve">All utilities, wifi (google fiber) and parking included in the rent.</t>
        </is>
      </c>
      <c r="N8" t="inlineStr" s="4">
        <is>
          <t xml:space="preserve">Yes</t>
        </is>
      </c>
      <c r="O8" t="inlineStr" s="4">
        <is>
          <t xml:space="preserve">All utilities, wifi (google fiber) and parking included in the rent.</t>
        </is>
      </c>
      <c r="P8" t="inlineStr" s="4">
        <is>
          <t xml:space="preserve">Manual review: saved wording explicitly states all utilities are included/inclusive.</t>
        </is>
      </c>
      <c r="Q8" t="inlineStr" s="4">
        <is>
          <t xml:space="preserve">None</t>
        </is>
      </c>
      <c r="R8" t="inlineStr" s="4">
        <is>
          <t xml:space="preserve">https://offcampus.dasa.ncsu.edu/housing/property/maisonnc-fully-furnished-minutes-away-from-wolfline-and-shopping/ocpesl9n3p</t>
        </is>
      </c>
    </row>
    <row r="9">
      <c r="A9" t="inlineStr" s="4">
        <is>
          <t xml:space="preserve">ocpcm3jede</t>
        </is>
      </c>
      <c r="B9" t="inlineStr" s="4">
        <is>
          <t xml:space="preserve">maisonNC --- Fully Furnished minutes away from Wolfline and Shopping</t>
        </is>
      </c>
      <c r="C9" t="inlineStr" s="4">
        <is>
          <t xml:space="preserve">$750</t>
        </is>
      </c>
      <c r="D9" s="3">
        <v>750</v>
      </c>
      <c r="E9" s="3">
        <v>750</v>
      </c>
      <c r="F9" s="3">
        <f>AVERAGE(D9:E9)</f>
        <v>750</v>
      </c>
      <c r="G9" s="5">
        <v>1.6003712180034149</v>
      </c>
      <c r="H9" t="inlineStr" s="4">
        <is>
          <t xml:space="preserve">&gt;1–3 mi</t>
        </is>
      </c>
      <c r="I9" t="inlineStr" s="4">
        <is>
          <t xml:space="preserve">Structured utility fields + saved description</t>
        </is>
      </c>
      <c r="J9" t="inlineStr" s="4">
        <is>
          <t xml:space="preserve">Electricity; Heat; Water/Sewer</t>
        </is>
      </c>
      <c r="K9" t="inlineStr" s="4">
        <is>
          <t xml:space="preserve">No</t>
        </is>
      </c>
      <c r="L9" t="inlineStr" s="4">
        <is>
          <t xml:space="preserve">Cable: Included
Electricity: Included
Heat: Included
High-Speed Internet: Included
Recycling: Included
Water/Sewer: Included</t>
        </is>
      </c>
      <c r="M9" t="inlineStr" s="4">
        <is>
          <t xml:space="preserve">Rent includes all utilities, wifi and parking.</t>
        </is>
      </c>
      <c r="N9" t="inlineStr" s="4">
        <is>
          <t xml:space="preserve">Yes</t>
        </is>
      </c>
      <c r="O9" t="inlineStr" s="4">
        <is>
          <t xml:space="preserve">Rent includes all utilities, wifi and parking.</t>
        </is>
      </c>
      <c r="P9" t="inlineStr" s="4">
        <is>
          <t xml:space="preserve">Manual review: saved wording explicitly states all utilities are included/inclusive.</t>
        </is>
      </c>
      <c r="Q9" t="inlineStr" s="4">
        <is>
          <t xml:space="preserve">None</t>
        </is>
      </c>
      <c r="R9" t="inlineStr" s="4">
        <is>
          <t xml:space="preserve">https://offcampus.dasa.ncsu.edu/housing/property/maisonnc-fully-furnished-minutes-away-from-wolfline-and-shopping/ocpcm3jede</t>
        </is>
      </c>
    </row>
    <row r="10">
      <c r="A10" t="inlineStr" s="4">
        <is>
          <t xml:space="preserve">ocpxdxd79p</t>
        </is>
      </c>
      <c r="B10" t="inlineStr" s="4">
        <is>
          <t xml:space="preserve">4BR/4BA Condo| On Wolfline | Preleasing 27-28 Special $850 Util/Parking Incld | Mile to Campus</t>
        </is>
      </c>
      <c r="C10" t="inlineStr" s="4">
        <is>
          <t xml:space="preserve">$875</t>
        </is>
      </c>
      <c r="D10" s="3">
        <v>875</v>
      </c>
      <c r="E10" s="3">
        <v>875</v>
      </c>
      <c r="F10" s="3">
        <f>AVERAGE(D10:E10)</f>
        <v>875</v>
      </c>
      <c r="G10" s="5">
        <v>0.6554114366280899</v>
      </c>
      <c r="H10" t="inlineStr" s="4">
        <is>
          <t xml:space="preserve">0–1 mi</t>
        </is>
      </c>
      <c r="I10" t="inlineStr" s="4">
        <is>
          <t xml:space="preserve">Structured utility fields + saved description</t>
        </is>
      </c>
      <c r="J10" t="inlineStr" s="4">
        <is>
          <t xml:space="preserve">Electricity; Heat; Trash Removal; Water/Sewer</t>
        </is>
      </c>
      <c r="K10" t="inlineStr" s="4">
        <is>
          <t xml:space="preserve">No</t>
        </is>
      </c>
      <c r="L10" t="inlineStr" s="4">
        <is>
          <t xml:space="preserve">Electricity: Included
Heat: Included
High-Speed Internet: Included
Trash Removal: Included
Water/Sewer: Included</t>
        </is>
      </c>
      <c r="M10" t="inlineStr" s="4">
        <is>
          <t xml:space="preserve">* All utilities included: Electric, water, trash, and unlimited Google Fiber High-Speed Internet</t>
        </is>
      </c>
      <c r="N10" t="inlineStr" s="4">
        <is>
          <t xml:space="preserve">Yes</t>
        </is>
      </c>
      <c r="O10" t="inlineStr" s="4">
        <is>
          <t xml:space="preserve">* All utilities included: Electric, water, trash, and unlimited Google Fiber High-Speed Internet</t>
        </is>
      </c>
      <c r="P10" t="inlineStr" s="4">
        <is>
          <t xml:space="preserve">Manual review: saved wording explicitly states all utilities are included/inclusive.</t>
        </is>
      </c>
      <c r="Q10" t="inlineStr" s="4">
        <is>
          <t xml:space="preserve">None</t>
        </is>
      </c>
      <c r="R10" t="inlineStr" s="4">
        <is>
          <t xml:space="preserve">https://offcampus.dasa.ncsu.edu/housing/property/4br-4ba-condo-on-wolfline-preleasing-27-28-special-850-util-parking-incld-mile-to-campus/ocpxdxd79p</t>
        </is>
      </c>
    </row>
    <row r="11">
      <c r="A11" t="inlineStr" s="4">
        <is>
          <t xml:space="preserve">ocpepvxvln</t>
        </is>
      </c>
      <c r="B11" t="inlineStr" s="4">
        <is>
          <t xml:space="preserve">Village Green Student Living</t>
        </is>
      </c>
      <c r="C11" t="inlineStr" s="4">
        <is>
          <t xml:space="preserve">$831</t>
        </is>
      </c>
      <c r="D11" s="3">
        <v>831</v>
      </c>
      <c r="E11" s="3">
        <v>831</v>
      </c>
      <c r="F11" s="3">
        <f>AVERAGE(D11:E11)</f>
        <v>831</v>
      </c>
      <c r="G11" s="5">
        <v>1.8158694045428092</v>
      </c>
      <c r="H11" t="inlineStr" s="4">
        <is>
          <t xml:space="preserve">&gt;1–3 mi</t>
        </is>
      </c>
      <c r="I11" t="inlineStr" s="4">
        <is>
          <t xml:space="preserve">Saved description</t>
        </is>
      </c>
      <c r="J11" t="inlineStr" s="4">
        <is>
          <t xml:space="preserve"/>
        </is>
      </c>
      <c r="K11" t="inlineStr" s="4">
        <is>
          <t xml:space="preserve">No</t>
        </is>
      </c>
      <c r="L11" t="inlineStr" s="4">
        <is>
          <t xml:space="preserve"/>
        </is>
      </c>
      <c r="M11" t="inlineStr" s="4">
        <is>
          <t xml:space="preserve">The price of parking and all utilities are included in the base rent fee of ~$831/month.</t>
        </is>
      </c>
      <c r="N11" t="inlineStr" s="4">
        <is>
          <t xml:space="preserve">Yes</t>
        </is>
      </c>
      <c r="O11" t="inlineStr" s="4">
        <is>
          <t xml:space="preserve">The price of parking and all utilities are included in the base rent fee of ~$831/month.</t>
        </is>
      </c>
      <c r="P11" t="inlineStr" s="4">
        <is>
          <t xml:space="preserve">Manual review: saved wording explicitly states all utilities are included/inclusive.</t>
        </is>
      </c>
      <c r="Q11" t="inlineStr" s="4">
        <is>
          <t xml:space="preserve">None</t>
        </is>
      </c>
      <c r="R11" t="inlineStr" s="4">
        <is>
          <t xml:space="preserve">https://offcampus.dasa.ncsu.edu/housing/property/village-green-student-living/ocpepvxvln</t>
        </is>
      </c>
    </row>
    <row r="12">
      <c r="A12" t="inlineStr" s="4">
        <is>
          <t xml:space="preserve">ocp0gblz91</t>
        </is>
      </c>
      <c r="B12" t="inlineStr" s="4">
        <is>
          <t xml:space="preserve">Great value in beautiful SW Raleigh</t>
        </is>
      </c>
      <c r="C12" t="inlineStr" s="4">
        <is>
          <t xml:space="preserve">$850</t>
        </is>
      </c>
      <c r="D12" s="3">
        <v>850</v>
      </c>
      <c r="E12" s="3">
        <v>850</v>
      </c>
      <c r="F12" s="3">
        <f>AVERAGE(D12:E12)</f>
        <v>850</v>
      </c>
      <c r="G12" s="5">
        <v>3.494769247784064</v>
      </c>
      <c r="H12" t="inlineStr" s="4">
        <is>
          <t xml:space="preserve">&gt;3–5 mi</t>
        </is>
      </c>
      <c r="I12" t="inlineStr" s="4">
        <is>
          <t xml:space="preserve">Saved description</t>
        </is>
      </c>
      <c r="J12" t="inlineStr" s="4">
        <is>
          <t xml:space="preserve"/>
        </is>
      </c>
      <c r="K12" t="inlineStr" s="4">
        <is>
          <t xml:space="preserve">No</t>
        </is>
      </c>
      <c r="L12" t="inlineStr" s="4">
        <is>
          <t xml:space="preserve"/>
        </is>
      </c>
      <c r="M12" t="inlineStr" s="4">
        <is>
          <t xml:space="preserve">ALL utilities included (i.e., high speed internet, electricity/gas, water, etc.).</t>
        </is>
      </c>
      <c r="N12" t="inlineStr" s="4">
        <is>
          <t xml:space="preserve">Yes</t>
        </is>
      </c>
      <c r="O12" t="inlineStr" s="4">
        <is>
          <t xml:space="preserve">ALL utilities included (i.e., high speed internet, electricity/gas, water, etc.).</t>
        </is>
      </c>
      <c r="P12" t="inlineStr" s="4">
        <is>
          <t xml:space="preserve">Manual review: saved wording explicitly states all utilities are included/inclusive.</t>
        </is>
      </c>
      <c r="Q12" t="inlineStr" s="4">
        <is>
          <t xml:space="preserve">None</t>
        </is>
      </c>
      <c r="R12" t="inlineStr" s="4">
        <is>
          <t xml:space="preserve">https://offcampus.dasa.ncsu.edu/housing/property/great-value-in-beautiful-sw-raleigh/ocp0gblz91</t>
        </is>
      </c>
    </row>
    <row r="13">
      <c r="A13" t="inlineStr" s="4">
        <is>
          <t xml:space="preserve">ocp67ldb5s</t>
        </is>
      </c>
      <c r="B13" t="inlineStr" s="4">
        <is>
          <t xml:space="preserve">The Wilde</t>
        </is>
      </c>
      <c r="C13" t="inlineStr" s="4">
        <is>
          <t xml:space="preserve">$860</t>
        </is>
      </c>
      <c r="D13" s="3">
        <v>860</v>
      </c>
      <c r="E13" s="3">
        <v>860</v>
      </c>
      <c r="F13" s="3">
        <f>AVERAGE(D13:E13)</f>
        <v>860</v>
      </c>
      <c r="G13" s="5">
        <v>2.038270327954621</v>
      </c>
      <c r="H13" t="inlineStr" s="4">
        <is>
          <t xml:space="preserve">&gt;1–3 mi</t>
        </is>
      </c>
      <c r="I13" t="inlineStr" s="4">
        <is>
          <t xml:space="preserve">Saved description</t>
        </is>
      </c>
      <c r="J13" t="inlineStr" s="4">
        <is>
          <t xml:space="preserve"/>
        </is>
      </c>
      <c r="K13" t="inlineStr" s="4">
        <is>
          <t xml:space="preserve">No</t>
        </is>
      </c>
      <c r="L13" t="inlineStr" s="4">
        <is>
          <t xml:space="preserve"/>
        </is>
      </c>
      <c r="M13" t="inlineStr" s="4">
        <is>
          <t xml:space="preserve">The $860 rent is all inclusive of fees and utilities outside of 1 time administrative fees.</t>
        </is>
      </c>
      <c r="N13" t="inlineStr" s="4">
        <is>
          <t xml:space="preserve">Yes</t>
        </is>
      </c>
      <c r="O13" t="inlineStr" s="4">
        <is>
          <t xml:space="preserve">The $860 rent is all inclusive of fees and utilities outside of 1 time administrative fees.</t>
        </is>
      </c>
      <c r="P13" t="inlineStr" s="4">
        <is>
          <t xml:space="preserve">Manual review: saved wording explicitly states all utilities are included/inclusive.</t>
        </is>
      </c>
      <c r="Q13" t="inlineStr" s="4">
        <is>
          <t xml:space="preserve">Not reported</t>
        </is>
      </c>
      <c r="R13" t="inlineStr" s="4">
        <is>
          <t xml:space="preserve">https://offcampus.dasa.ncsu.edu/housing/property/the-wilde/ocp67ldb5s</t>
        </is>
      </c>
    </row>
    <row r="15">
      <c r="A15" t="inlineStr" s="6">
        <is>
          <t xml:space="preserve">COUNT</t>
        </is>
      </c>
      <c r="B15" t="inlineStr" s="6">
        <is>
          <t xml:space="preserve">Listing count</t>
        </is>
      </c>
      <c r="D15" s="6">
        <f>COUNT(D6:D13)</f>
        <v>8</v>
      </c>
      <c r="E15" s="6">
        <f>COUNT(E6:E13)</f>
        <v>8</v>
      </c>
      <c r="F15" s="6">
        <f>COUNT(F6:F13)</f>
        <v>8</v>
      </c>
    </row>
    <row r="16">
      <c r="A16" t="inlineStr" s="6">
        <is>
          <t xml:space="preserve">SUM</t>
        </is>
      </c>
      <c r="B16" t="inlineStr" s="6">
        <is>
          <t xml:space="preserve">Sum of advertised listing values</t>
        </is>
      </c>
      <c r="D16" s="7">
        <f>SUM(D6:D13)</f>
        <v>6511</v>
      </c>
      <c r="E16" s="7">
        <f>SUM(E6:E13)</f>
        <v>6661</v>
      </c>
      <c r="F16" s="7">
        <f>SUM(F6:F13)</f>
        <v>6586</v>
      </c>
    </row>
    <row r="17">
      <c r="A17" t="inlineStr" s="6">
        <is>
          <t xml:space="preserve">MEAN</t>
        </is>
      </c>
      <c r="B17" t="inlineStr" s="6">
        <is>
          <t xml:space="preserve">Mean advertised rent</t>
        </is>
      </c>
      <c r="D17" s="7">
        <f>AVERAGE(D6:D13)</f>
        <v>813.875</v>
      </c>
      <c r="E17" s="7">
        <f>AVERAGE(E6:E13)</f>
        <v>832.625</v>
      </c>
      <c r="F17" s="7">
        <f>AVERAGE(F6:F13)</f>
        <v>823.25</v>
      </c>
    </row>
    <row r="18">
      <c r="A18" t="inlineStr" s="6">
        <is>
          <t xml:space="preserve">SUM ÷ COUNT CHECK</t>
        </is>
      </c>
      <c r="B18" t="inlineStr" s="6">
        <is>
          <t xml:space="preserve">Same mean calculated explicitly</t>
        </is>
      </c>
      <c r="D18" s="7">
        <f>D16/D15</f>
        <v>813.875</v>
      </c>
      <c r="E18" s="7">
        <f>E16/E15</f>
        <v>832.625</v>
      </c>
      <c r="F18" s="7">
        <f>F16/F15</f>
        <v>823.25</v>
      </c>
    </row>
  </sheetData>
  <mergeCells count="2">
    <mergeCell ref="A1:R1"/>
    <mergeCell ref="A2:R2"/>
  </mergeCells>
  <autoFilter ref="A5:R13"/>
</worksheet>
</file>
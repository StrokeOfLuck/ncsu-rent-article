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6b440d3ba742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y utility included (41)" sheetId="1" r:id="Rf2eb601de7f64f7f"/>
    <x:sheet xmlns:r="http://schemas.openxmlformats.org/officeDocument/2006/relationships" name="All utilities stated (8)" sheetId="2" r:id="R76c277a98462410c"/>
    <x:sheet xmlns:r="http://schemas.openxmlformats.org/officeDocument/2006/relationships" name="Source CSV (41)" sheetId="3" r:id="Rf45411b930fd4cf3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2">
    <numFmt numFmtId="200" formatCode="$#,##0.00"/>
    <numFmt numFmtId="201" formatCode="0.000"/>
  </numFmts>
  <fonts count="6">
    <font>
      <sz val="11"/>
      <name val="Carlito"/>
    </font>
    <font>
      <b/>
      <sz val="16"/>
      <color rgb="FF202020"/>
      <name val="Carlito"/>
    </font>
    <font>
      <sz val="11"/>
      <color rgb="FF4B4741"/>
      <name val="Carlito"/>
    </font>
    <font>
      <b/>
      <sz val="11"/>
      <color rgb="FF6C675F"/>
      <name val="Carlito"/>
    </font>
    <font>
      <b/>
      <sz val="11"/>
      <color rgb="FFFFFFFF"/>
      <name val="Carlito"/>
    </font>
    <font>
      <b/>
      <sz val="12"/>
      <color rgb="FF6C675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3F0E9"/>
      </patternFill>
    </fill>
    <fill>
      <patternFill patternType="solid">
        <fgColor rgb="FF8B1F2D"/>
      </patternFill>
    </fill>
    <fill>
      <patternFill patternType="solid">
        <fgColor rgb="FFE2F0D9"/>
        <bgColor indexed="64"/>
      </patternFill>
    </fill>
  </fills>
  <borders count="2">
    <border/>
    <border/>
  </borders>
  <cellStyleXfs count="1">
    <xf numFmtId="0" fontId="0" fillId="0" borderId="0"/>
  </cellStyleXfs>
  <cellXfs count="45">
    <xf numFmtId="0" fontId="0" fillId="0" borderId="0" xfId="0"/>
    <xf numFmtId="0" fontId="0" fillId="0" borderId="1" xfId="0" applyNumberFormat="1" applyFont="1" applyFill="1" applyBorder="1"/>
    <xf numFmtId="0" fontId="1" fillId="0" borderId="0" xfId="0" applyNumberFormat="1" applyFont="1" applyFill="1" applyBorder="1"/>
    <xf numFmtId="0" fontId="1" fillId="0" borderId="1" xfId="0" applyNumberFormat="1" applyFont="1" applyFill="1" applyBorder="1"/>
    <xf numFmtId="0" fontId="0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0" fontId="0" fillId="2" borderId="1" xfId="0" applyNumberFormat="1" applyFont="1" applyFill="1" applyBorder="1"/>
    <xf numFmtId="0" fontId="2" fillId="2" borderId="1" xfId="0" applyNumberFormat="1" applyFont="1" applyFill="1" applyBorder="1"/>
    <xf numFmtId="0" fontId="2" fillId="2" borderId="1" xfId="0" applyNumberFormat="1" applyFont="1" applyFill="1" applyBorder="1" applyAlignment="1">
      <alignment wrapText="1"/>
    </xf>
    <xf numFmtId="0" fontId="3" fillId="0" borderId="0" xfId="0" applyNumberFormat="1" applyFont="1" applyFill="1" applyBorder="1"/>
    <xf numFmtId="0" fontId="3" fillId="0" borderId="1" xfId="0" applyNumberFormat="1" applyFont="1" applyFill="1" applyBorder="1"/>
    <xf numFmtId="0" fontId="0" fillId="3" borderId="0" xfId="0" applyNumberFormat="1" applyFont="1" applyFill="1" applyBorder="1"/>
    <xf numFmtId="0" fontId="4" fillId="3" borderId="0" xfId="0" applyNumberFormat="1" applyFont="1" applyFill="1" applyBorder="1"/>
    <xf numFmtId="0" fontId="4" fillId="3" borderId="0" xfId="0" applyNumberFormat="1" applyFont="1" applyFill="1" applyBorder="1" applyAlignment="1">
      <alignment wrapText="1"/>
    </xf>
    <xf numFmtId="0" fontId="4" fillId="3" borderId="0" xfId="0" applyNumberFormat="1" applyFont="1" applyFill="1" applyBorder="1" applyAlignment="1">
      <alignment horizontal="center" wrapText="1"/>
    </xf>
    <xf numFmtId="0" fontId="4" fillId="3" borderId="0" xfId="0" applyNumberFormat="1" applyFont="1" applyFill="1" applyBorder="1" applyAlignment="1">
      <alignment horizontal="center" vertical="center" wrapText="1"/>
    </xf>
    <xf numFmtId="0" fontId="0" fillId="3" borderId="1" xfId="0" applyNumberFormat="1" applyFont="1" applyFill="1" applyBorder="1"/>
    <xf numFmtId="0" fontId="4" fillId="3" borderId="1" xfId="0" applyNumberFormat="1" applyFont="1" applyFill="1" applyBorder="1"/>
    <xf numFmtId="0" fontId="4" fillId="3" borderId="1" xfId="0" applyNumberFormat="1" applyFont="1" applyFill="1" applyBorder="1" applyAlignment="1">
      <alignment wrapText="1"/>
    </xf>
    <xf numFmtId="0" fontId="4" fillId="3" borderId="1" xfId="0" applyNumberFormat="1" applyFont="1" applyFill="1" applyBorder="1" applyAlignment="1">
      <alignment horizontal="center" wrapText="1"/>
    </xf>
    <xf numFmtId="0" fontId="4" fillId="3" borderId="1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/>
    <xf numFmtId="0" fontId="5" fillId="0" borderId="1" xfId="0" applyNumberFormat="1" applyFont="1" applyFill="1" applyBorder="1"/>
    <xf numFmtId="200" fontId="0" fillId="0" borderId="0" xfId="0" applyNumberFormat="1" applyFont="1" applyFill="1" applyBorder="1"/>
    <xf numFmtId="200" fontId="0" fillId="0" borderId="1" xfId="0" applyNumberFormat="1" applyFont="1" applyFill="1" applyBorder="1"/>
    <xf numFmtId="201" fontId="0" fillId="0" borderId="0" xfId="0" applyNumberFormat="1" applyFont="1" applyFill="1" applyBorder="1"/>
    <xf numFmtId="201" fontId="0" fillId="0" borderId="1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200" fontId="0" fillId="0" borderId="0" xfId="0" applyNumberFormat="1" applyFont="1" applyFill="1" applyBorder="1" applyAlignment="1">
      <alignment wrapText="1"/>
    </xf>
    <xf numFmtId="201" fontId="0" fillId="0" borderId="0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200" fontId="0" fillId="0" borderId="1" xfId="0" applyNumberFormat="1" applyFont="1" applyFill="1" applyBorder="1" applyAlignment="1">
      <alignment wrapText="1"/>
    </xf>
    <xf numFmtId="201" fontId="0" fillId="0" borderId="1" xfId="0" applyNumberFormat="1" applyFont="1" applyFill="1" applyBorder="1" applyAlignment="1">
      <alignment wrapText="1"/>
    </xf>
    <xf numFmtId="0" fontId="4" fillId="3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200" fontId="0" fillId="0" borderId="0" xfId="0" applyNumberFormat="1" applyFont="1" applyFill="1" applyBorder="1" applyAlignment="1">
      <alignment vertical="top" wrapText="1"/>
    </xf>
    <xf numFmtId="201" fontId="0" fillId="0" borderId="0" xfId="0" applyNumberFormat="1" applyFont="1" applyFill="1" applyBorder="1" applyAlignment="1">
      <alignment vertical="top" wrapText="1"/>
    </xf>
    <xf numFmtId="0" fontId="4" fillId="3" borderId="1" xfId="0" applyNumberFormat="1" applyFont="1" applyFill="1" applyBorder="1" applyAlignment="1">
      <alignment horizontal="center" vertical="top" wrapText="1"/>
    </xf>
    <xf numFmtId="0" fontId="0" fillId="0" borderId="1" xfId="0" applyNumberFormat="1" applyFont="1" applyFill="1" applyBorder="1" applyAlignment="1">
      <alignment vertical="top" wrapText="1"/>
    </xf>
    <xf numFmtId="200" fontId="0" fillId="0" borderId="1" xfId="0" applyNumberFormat="1" applyFont="1" applyFill="1" applyBorder="1" applyAlignment="1">
      <alignment vertical="top" wrapText="1"/>
    </xf>
    <xf numFmtId="201" fontId="0" fillId="0" borderId="1" xfId="0" applyNumberFormat="1" applyFont="1" applyFill="1" applyBorder="1" applyAlignment="1">
      <alignment vertical="top" wrapText="1"/>
    </xf>
    <xf numFmtId="0" fontId="0" fillId="4" borderId="0" xfId="0" applyNumberFormat="1" applyFont="1" applyFill="1" applyBorder="1" applyAlignment="1">
      <alignment vertical="top" wrapText="1"/>
    </xf>
    <xf numFmtId="200" fontId="0" fillId="4" borderId="0" xfId="0" applyNumberFormat="1" applyFont="1" applyFill="1" applyBorder="1" applyAlignment="1">
      <alignment vertical="top" wrapText="1"/>
    </xf>
    <xf numFmtId="201" fontId="0" fillId="4" borderId="0" xfId="0" applyNumberFormat="1" applyFont="1" applyFill="1" applyBorder="1" applyAlignment="1">
      <alignment vertical="top"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f3d548fd824cbe" /><Relationship Type="http://schemas.openxmlformats.org/officeDocument/2006/relationships/theme" Target="/xl/theme/theme1.xml" Id="Rd2dd0dc08e064911" /><Relationship Type="http://schemas.openxmlformats.org/officeDocument/2006/relationships/sharedStrings" Target="/xl/sharedStrings.xml" Id="Rfc709d47fbd14346" /><Relationship Type="http://schemas.openxmlformats.org/officeDocument/2006/relationships/worksheet" Target="/xl/worksheets/sheet1.xml" Id="Rf2eb601de7f64f7f" /><Relationship Type="http://schemas.openxmlformats.org/officeDocument/2006/relationships/worksheet" Target="/xl/worksheets/sheet2.xml" Id="R76c277a98462410c" /><Relationship Type="http://schemas.openxmlformats.org/officeDocument/2006/relationships/worksheet" Target="/xl/worksheets/sheet3.xml" Id="Rf45411b930fd4c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RowHeight="15"/>
  <cols>
    <col min="1" max="1" width="14" hidden="0" customWidth="1"/>
    <col min="2" max="2" width="36" hidden="0" customWidth="1"/>
    <col min="3" max="3" width="16" hidden="0" customWidth="1"/>
    <col min="4" max="4" width="14" hidden="0" customWidth="1"/>
    <col min="5" max="5" width="14" hidden="0" customWidth="1"/>
    <col min="6" max="6" width="16" hidden="0" customWidth="1"/>
    <col min="7" max="7" width="13" hidden="0" customWidth="1"/>
    <col min="8" max="8" width="12" hidden="0" customWidth="1"/>
    <col min="9" max="9" width="27" hidden="0" customWidth="1"/>
    <col min="10" max="10" width="28" hidden="0" customWidth="1"/>
    <col min="11" max="11" width="14" hidden="0" customWidth="1"/>
    <col min="12" max="12" width="40" hidden="0" customWidth="1"/>
    <col min="13" max="13" width="13" hidden="0" customWidth="1"/>
    <col min="14" max="14" width="40" hidden="0" customWidth="1"/>
    <col min="15" max="15" width="18" hidden="0" customWidth="1"/>
    <col min="16" max="16" width="48" hidden="0" customWidth="1"/>
  </cols>
  <sheetData>
    <row r="1" ht="24" customHeight="1">
      <c r="A1" s="2" t="str">
        <v>Utility-inclusion audit — at least one core utility included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24" customHeight="1">
      <c r="A2" s="6" t="inlineStr">
        <is>
          <t xml:space="preserve">Sept. 9 snapshot. 41 of 74 Main Campus private-bedroom analytic listings (55.4%) affirmatively establish at least one selected core utility as included through saved structured utility fields, saved listing wording or both.</t>
        </is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>
      <c r="A3" s="10" t="inlineStr">
        <is>
          <t xml:space="preserve">Utility-including listings</t>
        </is>
      </c>
      <c r="B3" s="22" t="inlineStr">
        <is>
          <t xml:space="preserve">41 of 74 · 55.4%</t>
        </is>
      </c>
      <c r="C3" s="10" t="str">
        <v>Mean advertised midpoint</v>
      </c>
      <c r="D3" s="22" t="n">
        <f>AVERAGE(F6:F46)</f>
        <v>878.109756097561</v>
      </c>
      <c r="E3" s="10" t="str">
        <v>Internet/Wi-Fi explicit</v>
      </c>
      <c r="F3" s="22" t="n">
        <f>COUNTIF(M6:M46,"Yes")</f>
        <v>26</v>
      </c>
    </row>
    <row r="4" ht="34" customHeight="1">
      <c r="A4" s="34" t="str">
        <v>listing_id</v>
      </c>
      <c r="B4" s="34" t="str">
        <v>listing</v>
      </c>
      <c r="C4" s="34" t="str">
        <v>advertised_price</v>
      </c>
      <c r="D4" s="34" t="str">
        <v>rent_low_numeric</v>
      </c>
      <c r="E4" s="34" t="str">
        <v>rent_high_numeric</v>
      </c>
      <c r="F4" s="34" t="str">
        <v>advertised_midpoint</v>
      </c>
      <c r="G4" s="34" t="str">
        <v>distance_miles</v>
      </c>
      <c r="H4" s="34" t="str">
        <v>distance_band</v>
      </c>
      <c r="I4" s="34" t="str">
        <v>classification_basis</v>
      </c>
      <c r="J4" s="34" t="str">
        <v>core_utilities_included</v>
      </c>
      <c r="K4" s="34" t="str">
        <v>all_5_core_structured</v>
      </c>
      <c r="L4" s="34" t="str">
        <v>all_utilities_exact_wording</v>
      </c>
      <c r="M4" s="34" t="str">
        <v>internet_wifi_explicit</v>
      </c>
      <c r="N4" s="34" t="str">
        <v>internet_wifi_evidence</v>
      </c>
      <c r="O4" s="34" t="str">
        <v>required_monthly_fees_portal</v>
      </c>
      <c r="P4" s="34" t="str">
        <v>original_listing_url</v>
      </c>
    </row>
    <row r="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</row>
    <row r="6">
      <c r="A6" s="35" t="str">
        <v>ocpet5b7hm</v>
      </c>
      <c r="B6" s="35" t="str">
        <v>Modern/High Ceilings 2bed/2 bath</v>
      </c>
      <c r="C6" s="35" t="str">
        <v>$1,250</v>
      </c>
      <c r="D6" s="36" t="n">
        <v>1250</v>
      </c>
      <c r="E6" s="36" t="n">
        <v>1250</v>
      </c>
      <c r="F6" s="36" t="n">
        <f>AVERAGE(D6:E6)</f>
        <v>1250</v>
      </c>
      <c r="G6" s="37" t="n">
        <v>1.026552005</v>
      </c>
      <c r="H6" s="35" t="str">
        <v>&gt;1–3 mi</v>
      </c>
      <c r="I6" s="35" t="str">
        <v>Structured utility fields</v>
      </c>
      <c r="J6" s="35" t="str">
        <v>Electricity; Gas; Heat; Trash Removal; Water/Sewer</v>
      </c>
      <c r="K6" s="35" t="str">
        <v>Yes</v>
      </c>
      <c r="L6" s="35"/>
      <c r="M6" s="35" t="str">
        <v>No</v>
      </c>
      <c r="N6" s="35"/>
      <c r="O6" s="35" t="str">
        <v>None</v>
      </c>
      <c r="P6" s="35" t="str">
        <v>https://offcampus.dasa.ncsu.edu/housing/property/modern-high-ceilings-2bed-2-bath/ocpet5b7hm</v>
      </c>
    </row>
    <row r="7">
      <c r="A7" s="35" t="str">
        <v>7e6kx1w</v>
      </c>
      <c r="B7" s="35" t="str">
        <v>Centennial Ridge Student Housing</v>
      </c>
      <c r="C7" s="35" t="str">
        <v>$599 - $2,157</v>
      </c>
      <c r="D7" s="36" t="n">
        <v>599</v>
      </c>
      <c r="E7" s="36" t="n">
        <v>2157</v>
      </c>
      <c r="F7" s="36" t="n">
        <f>AVERAGE(D7:E7)</f>
        <v>1378</v>
      </c>
      <c r="G7" s="37" t="n">
        <v>2.372144719</v>
      </c>
      <c r="H7" s="35" t="str">
        <v>&gt;1–3 mi</v>
      </c>
      <c r="I7" s="35" t="str">
        <v>Structured utility fields</v>
      </c>
      <c r="J7" s="35" t="str">
        <v>Electricity; Heat; Water/Sewer</v>
      </c>
      <c r="K7" s="35" t="str">
        <v>No</v>
      </c>
      <c r="L7" s="35"/>
      <c r="M7" s="35" t="str">
        <v>Yes</v>
      </c>
      <c r="N7" s="35" t="str">
        <v>High-Speed Internet: Included</v>
      </c>
      <c r="O7" s="35" t="str">
        <v>Not reported</v>
      </c>
      <c r="P7" s="35" t="str">
        <v>https://offcampus.dasa.ncsu.edu/housing/property/centennial-ridge-student-housing/7e6kx1w</v>
      </c>
    </row>
    <row r="8">
      <c r="A8" s="35" t="str">
        <v>ocpw46rjcl</v>
      </c>
      <c r="B8" s="35" t="str">
        <v>Brand New Luxury Furnished Townhome | 4 Bed /  3.5 Bath | 5 Min to NC State &amp; 3 Mins to Fenton +shop</v>
      </c>
      <c r="C8" s="35" t="str">
        <v>$900 - $1,050</v>
      </c>
      <c r="D8" s="36" t="n">
        <v>900</v>
      </c>
      <c r="E8" s="36" t="n">
        <v>1050</v>
      </c>
      <c r="F8" s="36" t="n">
        <f>AVERAGE(D8:E8)</f>
        <v>975</v>
      </c>
      <c r="G8" s="37" t="n">
        <v>3.33499703</v>
      </c>
      <c r="H8" s="35" t="str">
        <v>&gt;3–5 mi</v>
      </c>
      <c r="I8" s="35" t="str">
        <v>Saved description</v>
      </c>
      <c r="J8" s="35"/>
      <c r="K8" s="35" t="str">
        <v>No</v>
      </c>
      <c r="L8" s="35" t="str">
        <v>All utilities included</v>
      </c>
      <c r="M8" s="35" t="str">
        <v>Yes</v>
      </c>
      <c r="N8" s="35" t="str">
        <v>High-speed internet included</v>
      </c>
      <c r="O8" s="35" t="str">
        <v>None</v>
      </c>
      <c r="P8" s="35" t="str">
        <v>https://offcampus.dasa.ncsu.edu/housing/property/brand-new-luxury-furnished-townhome-4-bed-3-5-bath-5-min-to-nc-state-and-3-mins-to-fenton-shop/ocpw46rjcl</v>
      </c>
    </row>
    <row r="9">
      <c r="A9" s="35" t="str">
        <v>ocpchygggd</v>
      </c>
      <c r="B9" s="35" t="str">
        <v>Hurry 2 Rooms Left! – 4BR/4BA Condo Near NC State  – All Utilities &amp; Internet Included!</v>
      </c>
      <c r="C9" s="35" t="str">
        <v>$695</v>
      </c>
      <c r="D9" s="36" t="n">
        <v>695</v>
      </c>
      <c r="E9" s="36" t="n">
        <v>695</v>
      </c>
      <c r="F9" s="36" t="n">
        <f>AVERAGE(D9:E9)</f>
        <v>695</v>
      </c>
      <c r="G9" s="37" t="n">
        <v>2.192366298</v>
      </c>
      <c r="H9" s="35" t="str">
        <v>&gt;1–3 mi</v>
      </c>
      <c r="I9" s="35" t="str">
        <v>Structured utility fields + saved description</v>
      </c>
      <c r="J9" s="35" t="str">
        <v>Electricity; Gas; Heat; Trash Removal; Water/Sewer</v>
      </c>
      <c r="K9" s="35" t="str">
        <v>Yes</v>
      </c>
      <c r="L9" s="35" t="str">
        <v>Rent is $695 per month per room and includes all utilities (electricity, water, and internet), with no hidden fees.</v>
      </c>
      <c r="M9" s="35" t="str">
        <v>Yes</v>
      </c>
      <c r="N9" s="35" t="str">
        <v>High-Speed Internet: Included | Rent is $695 per month per room and includes all utilities (electricity, water, and internet), with no hidden fees.</v>
      </c>
      <c r="O9" s="35" t="str">
        <v>None</v>
      </c>
      <c r="P9" s="35" t="str">
        <v>https://offcampus.dasa.ncsu.edu/housing/property/hurry-2-rooms-left-4br-4ba-condo-near-nc-state-all-utilities-and-internet-included/ocpchygggd</v>
      </c>
    </row>
    <row r="10">
      <c r="A10" s="35" t="str">
        <v>ocpesl9n3p</v>
      </c>
      <c r="B10" s="35" t="str">
        <v>maisonNC --- Fully Furnished minutes away from Wolfline and Shopping</v>
      </c>
      <c r="C10" s="35" t="str">
        <v>$750</v>
      </c>
      <c r="D10" s="36" t="n">
        <v>750</v>
      </c>
      <c r="E10" s="36" t="n">
        <v>750</v>
      </c>
      <c r="F10" s="36" t="n">
        <f>AVERAGE(D10:E10)</f>
        <v>750</v>
      </c>
      <c r="G10" s="37" t="n">
        <v>1.619349362</v>
      </c>
      <c r="H10" s="35" t="str">
        <v>&gt;1–3 mi</v>
      </c>
      <c r="I10" s="35" t="str">
        <v>Saved description</v>
      </c>
      <c r="J10" s="35"/>
      <c r="K10" s="35" t="str">
        <v>No</v>
      </c>
      <c r="L10" s="35" t="str">
        <v>All utilities, wifi (google fiber) and parking included in the rent.</v>
      </c>
      <c r="M10" s="35" t="str">
        <v>Yes</v>
      </c>
      <c r="N10" s="35" t="str">
        <v>All utilities, wifi (google fiber) and parking included in the rent.</v>
      </c>
      <c r="O10" s="35" t="str">
        <v>None</v>
      </c>
      <c r="P10" s="35" t="str">
        <v>https://offcampus.dasa.ncsu.edu/housing/property/maisonnc-fully-furnished-minutes-away-from-wolfline-and-shopping/ocpesl9n3p</v>
      </c>
    </row>
    <row r="11">
      <c r="A11" s="35" t="str">
        <v>ocpcm3jede</v>
      </c>
      <c r="B11" s="35" t="str">
        <v>maisonNC --- Fully Furnished minutes away from Wolfline and Shopping</v>
      </c>
      <c r="C11" s="35" t="str">
        <v>$750</v>
      </c>
      <c r="D11" s="36" t="n">
        <v>750</v>
      </c>
      <c r="E11" s="36" t="n">
        <v>750</v>
      </c>
      <c r="F11" s="36" t="n">
        <f>AVERAGE(D11:E11)</f>
        <v>750</v>
      </c>
      <c r="G11" s="37" t="n">
        <v>1.600371218</v>
      </c>
      <c r="H11" s="35" t="str">
        <v>&gt;1–3 mi</v>
      </c>
      <c r="I11" s="35" t="str">
        <v>Structured utility fields + saved description</v>
      </c>
      <c r="J11" s="35" t="str">
        <v>Electricity; Heat; Water/Sewer</v>
      </c>
      <c r="K11" s="35" t="str">
        <v>No</v>
      </c>
      <c r="L11" s="35" t="str">
        <v>Rent includes all utilities, wifi and parking.</v>
      </c>
      <c r="M11" s="35" t="str">
        <v>Yes</v>
      </c>
      <c r="N11" s="35" t="str">
        <v>High-Speed Internet: Included | Rent includes all utilities, wifi and parking.</v>
      </c>
      <c r="O11" s="35" t="str">
        <v>None</v>
      </c>
      <c r="P11" s="35" t="str">
        <v>https://offcampus.dasa.ncsu.edu/housing/property/maisonnc-fully-furnished-minutes-away-from-wolfline-and-shopping/ocpcm3jede</v>
      </c>
    </row>
    <row r="12">
      <c r="A12" s="35" t="str">
        <v>ocpnx5c0kn</v>
      </c>
      <c r="B12" s="35" t="str">
        <v>Modern &amp; spacious 3BR/3BA Apartment w/View</v>
      </c>
      <c r="C12" s="35" t="str">
        <v>$1,000</v>
      </c>
      <c r="D12" s="36" t="n">
        <v>1000</v>
      </c>
      <c r="E12" s="36" t="n">
        <v>1000</v>
      </c>
      <c r="F12" s="36" t="n">
        <f>AVERAGE(D12:E12)</f>
        <v>1000</v>
      </c>
      <c r="G12" s="37" t="n">
        <v>1.036129373</v>
      </c>
      <c r="H12" s="35" t="str">
        <v>&gt;1–3 mi</v>
      </c>
      <c r="I12" s="35" t="str">
        <v>Structured utility fields</v>
      </c>
      <c r="J12" s="35" t="str">
        <v>Electricity; Gas; Heat; Trash Removal; Water/Sewer</v>
      </c>
      <c r="K12" s="35" t="str">
        <v>Yes</v>
      </c>
      <c r="L12" s="35"/>
      <c r="M12" s="35" t="str">
        <v>Yes</v>
      </c>
      <c r="N12" s="35" t="str">
        <v>High-Speed Internet: Included</v>
      </c>
      <c r="O12" s="35" t="str">
        <v>None</v>
      </c>
      <c r="P12" s="35" t="str">
        <v>https://offcampus.dasa.ncsu.edu/housing/property/modern-and-spacious-3br-3ba-apartment-w-view/ocpnx5c0kn</v>
      </c>
    </row>
    <row r="13">
      <c r="A13" s="35" t="str">
        <v>ocpjeweyz6</v>
      </c>
      <c r="B13" s="35" t="str">
        <v>All Girls Unit - Room with Private Bathroom at  University Woods at Centennial Condominiums</v>
      </c>
      <c r="C13" s="35" t="str">
        <v>$645</v>
      </c>
      <c r="D13" s="36" t="n">
        <v>645</v>
      </c>
      <c r="E13" s="36" t="n">
        <v>645</v>
      </c>
      <c r="F13" s="36" t="n">
        <f>AVERAGE(D13:E13)</f>
        <v>645</v>
      </c>
      <c r="G13" s="37" t="n">
        <v>2.188347488</v>
      </c>
      <c r="H13" s="35" t="str">
        <v>&gt;1–3 mi</v>
      </c>
      <c r="I13" s="35" t="str">
        <v>Structured utility fields + saved description</v>
      </c>
      <c r="J13" s="35" t="str">
        <v>Trash Removal</v>
      </c>
      <c r="K13" s="35" t="str">
        <v>No</v>
      </c>
      <c r="L13" s="35"/>
      <c r="M13" s="35" t="str">
        <v>Yes</v>
      </c>
      <c r="N13" s="35" t="str">
        <v>Not included: Water, Internet and Electricity (shared among roommates)</v>
      </c>
      <c r="O13" s="35" t="str">
        <v>None</v>
      </c>
      <c r="P13" s="35" t="str">
        <v>https://offcampus.dasa.ncsu.edu/housing/property/all-girls-unit-room-with-private-bathroom-at-university-woods-at-centennial-condominiums/ocpjeweyz6</v>
      </c>
    </row>
    <row r="14">
      <c r="A14" s="35" t="str">
        <v>0smdl31</v>
      </c>
      <c r="B14" s="35" t="str">
        <v>Paloma Raleigh</v>
      </c>
      <c r="C14" s="35" t="str">
        <v>$749 - $1,599</v>
      </c>
      <c r="D14" s="36" t="n">
        <v>749</v>
      </c>
      <c r="E14" s="36" t="n">
        <v>1599</v>
      </c>
      <c r="F14" s="36" t="n">
        <f>AVERAGE(D14:E14)</f>
        <v>1174</v>
      </c>
      <c r="G14" s="37" t="n">
        <v>2.624931081</v>
      </c>
      <c r="H14" s="35" t="str">
        <v>&gt;1–3 mi</v>
      </c>
      <c r="I14" s="35" t="str">
        <v>Structured utility fields</v>
      </c>
      <c r="J14" s="35" t="str">
        <v>Gas; Heat; Trash Removal; Water/Sewer</v>
      </c>
      <c r="K14" s="35" t="str">
        <v>No</v>
      </c>
      <c r="L14" s="35"/>
      <c r="M14" s="35" t="str">
        <v>Yes</v>
      </c>
      <c r="N14" s="35" t="str">
        <v>High-Speed Internet: Included</v>
      </c>
      <c r="O14" s="35" t="str">
        <v>Not reported</v>
      </c>
      <c r="P14" s="35" t="str">
        <v>https://offcampus.dasa.ncsu.edu/housing/property/paloma-raleigh/0smdl31</v>
      </c>
    </row>
    <row r="15">
      <c r="A15" s="35" t="str">
        <v>ocppjxdd3r</v>
      </c>
      <c r="B15" s="35" t="str">
        <v>Collegeview Duplex--Brand New Luxury Housing within walking distance to NCSU</v>
      </c>
      <c r="C15" s="35" t="str">
        <v>$900 - $950</v>
      </c>
      <c r="D15" s="36" t="n">
        <v>900</v>
      </c>
      <c r="E15" s="36" t="n">
        <v>950</v>
      </c>
      <c r="F15" s="36" t="n">
        <f>AVERAGE(D15:E15)</f>
        <v>925</v>
      </c>
      <c r="G15" s="37" t="n">
        <v>0.249152533</v>
      </c>
      <c r="H15" s="35" t="str">
        <v>0–1 mi</v>
      </c>
      <c r="I15" s="35" t="str">
        <v>Structured utility fields</v>
      </c>
      <c r="J15" s="35" t="str">
        <v>Trash Removal</v>
      </c>
      <c r="K15" s="35" t="str">
        <v>No</v>
      </c>
      <c r="L15" s="35"/>
      <c r="M15" s="35" t="str">
        <v>No</v>
      </c>
      <c r="N15" s="35"/>
      <c r="O15" s="35" t="str">
        <v>None</v>
      </c>
      <c r="P15" s="35" t="str">
        <v>https://offcampus.dasa.ncsu.edu/housing/property/collegeview-duplex-brand-new-luxury-housing-within-walking-distance-to-ncsu/ocppjxdd3r</v>
      </c>
    </row>
    <row r="16">
      <c r="A16" s="35" t="str">
        <v>ocpe1n95cm</v>
      </c>
      <c r="B16" s="35" t="str">
        <v>Big Promotion w/best price ever. Move in Immediately . MarcomTowns. Great location nice</v>
      </c>
      <c r="C16" s="35" t="str">
        <v>$950</v>
      </c>
      <c r="D16" s="36" t="n">
        <v>950</v>
      </c>
      <c r="E16" s="36" t="n">
        <v>950</v>
      </c>
      <c r="F16" s="36" t="n">
        <f>AVERAGE(D16:E16)</f>
        <v>950</v>
      </c>
      <c r="G16" s="37" t="n">
        <v>0.243489368</v>
      </c>
      <c r="H16" s="35" t="str">
        <v>0–1 mi</v>
      </c>
      <c r="I16" s="35" t="str">
        <v>Structured utility fields</v>
      </c>
      <c r="J16" s="35" t="str">
        <v>Trash Removal</v>
      </c>
      <c r="K16" s="35" t="str">
        <v>No</v>
      </c>
      <c r="L16" s="35"/>
      <c r="M16" s="35" t="str">
        <v>No</v>
      </c>
      <c r="N16" s="35"/>
      <c r="O16" s="35" t="str">
        <v>None</v>
      </c>
      <c r="P16" s="35" t="str">
        <v>https://offcampus.dasa.ncsu.edu/housing/property/big-promotion-w-best-price-ever-move-in-immediately-marcomtowns-great-location-nice/ocpe1n95cm</v>
      </c>
    </row>
    <row r="17">
      <c r="A17" s="35" t="str">
        <v>ocp2evl6hb</v>
      </c>
      <c r="B17" s="35" t="str">
        <v>University Oaks -</v>
      </c>
      <c r="C17" s="35" t="str">
        <v>$725</v>
      </c>
      <c r="D17" s="36" t="n">
        <v>725</v>
      </c>
      <c r="E17" s="36" t="n">
        <v>725</v>
      </c>
      <c r="F17" s="36" t="n">
        <f>AVERAGE(D17:E17)</f>
        <v>725</v>
      </c>
      <c r="G17" s="37" t="n">
        <v>0.440031949</v>
      </c>
      <c r="H17" s="35" t="str">
        <v>0–1 mi</v>
      </c>
      <c r="I17" s="35" t="str">
        <v>Structured utility fields + saved description</v>
      </c>
      <c r="J17" s="35" t="str">
        <v>Electricity; Gas; Heat; Trash Removal; Water/Sewer</v>
      </c>
      <c r="K17" s="35" t="str">
        <v>Yes</v>
      </c>
      <c r="L17" s="35"/>
      <c r="M17" s="35" t="str">
        <v>Yes</v>
      </c>
      <c r="N17" s="35" t="str">
        <v>High-Speed Internet: Included | Parking, utilities, internet - included.</v>
      </c>
      <c r="O17" s="35" t="str">
        <v>None</v>
      </c>
      <c r="P17" s="35" t="str">
        <v>https://offcampus.dasa.ncsu.edu/housing/property/university-oaks/ocp2evl6hb</v>
      </c>
    </row>
    <row r="18">
      <c r="A18" s="35" t="str">
        <v>ocpvlydr3e</v>
      </c>
      <c r="B18" s="35" t="str">
        <v>Reavis ---Brand New Luxury Housing within walking distance to NCSU</v>
      </c>
      <c r="C18" s="35" t="str">
        <v>$925 - $975</v>
      </c>
      <c r="D18" s="36" t="n">
        <v>925</v>
      </c>
      <c r="E18" s="36" t="n">
        <v>975</v>
      </c>
      <c r="F18" s="36" t="n">
        <f>AVERAGE(D18:E18)</f>
        <v>950</v>
      </c>
      <c r="G18" s="37" t="n">
        <v>0.846079213</v>
      </c>
      <c r="H18" s="35" t="str">
        <v>0–1 mi</v>
      </c>
      <c r="I18" s="35" t="str">
        <v>Structured utility fields</v>
      </c>
      <c r="J18" s="35" t="str">
        <v>Trash Removal</v>
      </c>
      <c r="K18" s="35" t="str">
        <v>No</v>
      </c>
      <c r="L18" s="35"/>
      <c r="M18" s="35" t="str">
        <v>No</v>
      </c>
      <c r="N18" s="35"/>
      <c r="O18" s="35" t="str">
        <v>None</v>
      </c>
      <c r="P18" s="35" t="str">
        <v>https://offcampus.dasa.ncsu.edu/housing/property/reavis-brand-new-luxury-housing-within-walking-distance-to-ncsu/ocpvlydr3e</v>
      </c>
    </row>
    <row r="19">
      <c r="A19" s="35" t="str">
        <v>ocpxdxd79p</v>
      </c>
      <c r="B19" s="35" t="str">
        <v>4BR/4BA Condo| On Wolfline | Preleasing 27-28 Special $850 Util/Parking Incld | Mile to Campus</v>
      </c>
      <c r="C19" s="35" t="str">
        <v>$875</v>
      </c>
      <c r="D19" s="36" t="n">
        <v>875</v>
      </c>
      <c r="E19" s="36" t="n">
        <v>875</v>
      </c>
      <c r="F19" s="36" t="n">
        <f>AVERAGE(D19:E19)</f>
        <v>875</v>
      </c>
      <c r="G19" s="37" t="n">
        <v>0.655411437</v>
      </c>
      <c r="H19" s="35" t="str">
        <v>0–1 mi</v>
      </c>
      <c r="I19" s="35" t="str">
        <v>Structured utility fields + saved description</v>
      </c>
      <c r="J19" s="35" t="str">
        <v>Electricity; Heat; Trash Removal; Water/Sewer</v>
      </c>
      <c r="K19" s="35" t="str">
        <v>No</v>
      </c>
      <c r="L19" s="35" t="str">
        <v>* All utilities included: Electric, water, trash, and unlimited Google Fiber High-Speed Internet</v>
      </c>
      <c r="M19" s="35" t="str">
        <v>Yes</v>
      </c>
      <c r="N19" s="35" t="str">
        <v>High-Speed Internet: Included | * All utilities included: Electric, water, trash, and unlimited Google Fiber High-Speed Internet</v>
      </c>
      <c r="O19" s="35" t="str">
        <v>None</v>
      </c>
      <c r="P19" s="35" t="str">
        <v>https://offcampus.dasa.ncsu.edu/housing/property/4br-4ba-condo-on-wolfline-preleasing-27-28-special-850-util-parking-incld-mile-to-campus/ocpxdxd79p</v>
      </c>
    </row>
    <row r="20">
      <c r="A20" s="35" t="str">
        <v>ocpm68s5sh</v>
      </c>
      <c r="B20" s="35" t="str">
        <v>Burt Drive Townhouses---Brand New Luxury Housing within walking distance to NCSU</v>
      </c>
      <c r="C20" s="35" t="str">
        <v>$1,050</v>
      </c>
      <c r="D20" s="36" t="n">
        <v>1050</v>
      </c>
      <c r="E20" s="36" t="n">
        <v>1050</v>
      </c>
      <c r="F20" s="36" t="n">
        <f>AVERAGE(D20:E20)</f>
        <v>1050</v>
      </c>
      <c r="G20" s="37" t="n">
        <v>0.339887457</v>
      </c>
      <c r="H20" s="35" t="str">
        <v>0–1 mi</v>
      </c>
      <c r="I20" s="35" t="str">
        <v>Structured utility fields</v>
      </c>
      <c r="J20" s="35" t="str">
        <v>Trash Removal</v>
      </c>
      <c r="K20" s="35" t="str">
        <v>No</v>
      </c>
      <c r="L20" s="35"/>
      <c r="M20" s="35" t="str">
        <v>No</v>
      </c>
      <c r="N20" s="35"/>
      <c r="O20" s="35" t="str">
        <v>None</v>
      </c>
      <c r="P20" s="35" t="str">
        <v>https://offcampus.dasa.ncsu.edu/housing/property/burt-drive-townhouses-brand-new-luxury-housing-within-walking-distance-to-ncsu/ocpm68s5sh</v>
      </c>
    </row>
    <row r="21">
      <c r="A21" s="35" t="str">
        <v>z8cfdjw</v>
      </c>
      <c r="B21" s="35" t="str">
        <v>Campus Crossings Raleigh</v>
      </c>
      <c r="C21" s="35" t="str">
        <v>$685 - $870</v>
      </c>
      <c r="D21" s="36" t="n">
        <v>685</v>
      </c>
      <c r="E21" s="36" t="n">
        <v>870</v>
      </c>
      <c r="F21" s="36" t="n">
        <f>AVERAGE(D21:E21)</f>
        <v>777.5</v>
      </c>
      <c r="G21" s="37" t="n">
        <v>2.420198986</v>
      </c>
      <c r="H21" s="35" t="str">
        <v>&gt;1–3 mi</v>
      </c>
      <c r="I21" s="35" t="str">
        <v>Structured utility fields</v>
      </c>
      <c r="J21" s="35" t="str">
        <v>Electricity; Heat; Trash Removal; Water/Sewer</v>
      </c>
      <c r="K21" s="35" t="str">
        <v>No</v>
      </c>
      <c r="L21" s="35"/>
      <c r="M21" s="35" t="str">
        <v>Yes</v>
      </c>
      <c r="N21" s="35" t="str">
        <v>High-Speed Internet: Included</v>
      </c>
      <c r="O21" s="35" t="str">
        <v>Not reported</v>
      </c>
      <c r="P21" s="35" t="str">
        <v>https://offcampus.dasa.ncsu.edu/housing/property/campus-crossings-raleigh/z8cfdjw</v>
      </c>
    </row>
    <row r="22">
      <c r="A22" s="35" t="str">
        <v>ocp6mp93ms</v>
      </c>
      <c r="B22" s="35" t="str">
        <v>Newly Renovated - All Girls Unit Room with Private Bathroom</v>
      </c>
      <c r="C22" s="35" t="str">
        <v>$645</v>
      </c>
      <c r="D22" s="36" t="n">
        <v>645</v>
      </c>
      <c r="E22" s="36" t="n">
        <v>645</v>
      </c>
      <c r="F22" s="36" t="n">
        <f>AVERAGE(D22:E22)</f>
        <v>645</v>
      </c>
      <c r="G22" s="37" t="n">
        <v>2.193838767</v>
      </c>
      <c r="H22" s="35" t="str">
        <v>&gt;1–3 mi</v>
      </c>
      <c r="I22" s="35" t="str">
        <v>Saved description</v>
      </c>
      <c r="J22" s="35"/>
      <c r="K22" s="35" t="str">
        <v>No</v>
      </c>
      <c r="L22" s="35"/>
      <c r="M22" s="35" t="str">
        <v>Yes</v>
      </c>
      <c r="N22" s="35" t="str">
        <v>Not included: Water, Internet and Electricity (shared among roommates)</v>
      </c>
      <c r="O22" s="35" t="str">
        <v>Not reported</v>
      </c>
      <c r="P22" s="35" t="str">
        <v>https://offcampus.dasa.ncsu.edu/housing/property/newly-renovated-all-girls-unit-room-with-private-bathroom/ocp6mp93ms</v>
      </c>
    </row>
    <row r="23">
      <c r="A23" s="35" t="str">
        <v>5x5ph7m</v>
      </c>
      <c r="B23" s="35" t="str">
        <v>Redpoint Raleigh</v>
      </c>
      <c r="C23" s="35" t="str">
        <v>$899 - $995</v>
      </c>
      <c r="D23" s="36" t="n">
        <v>899</v>
      </c>
      <c r="E23" s="36" t="n">
        <v>995</v>
      </c>
      <c r="F23" s="36" t="n">
        <f>AVERAGE(D23:E23)</f>
        <v>947</v>
      </c>
      <c r="G23" s="37" t="n">
        <v>2.69627335</v>
      </c>
      <c r="H23" s="35" t="str">
        <v>&gt;1–3 mi</v>
      </c>
      <c r="I23" s="35" t="str">
        <v>Structured utility fields</v>
      </c>
      <c r="J23" s="35" t="str">
        <v>Gas; Heat; Trash Removal; Water/Sewer</v>
      </c>
      <c r="K23" s="35" t="str">
        <v>No</v>
      </c>
      <c r="L23" s="35"/>
      <c r="M23" s="35" t="str">
        <v>Yes</v>
      </c>
      <c r="N23" s="35" t="str">
        <v>High-Speed Internet: Included</v>
      </c>
      <c r="O23" s="35" t="str">
        <v>Not reported</v>
      </c>
      <c r="P23" s="35" t="str">
        <v>https://offcampus.dasa.ncsu.edu/housing/property/redpoint-raleigh/5x5ph7m</v>
      </c>
    </row>
    <row r="24">
      <c r="A24" s="35" t="str">
        <v>jjs8f07</v>
      </c>
      <c r="B24" s="35" t="str">
        <v>Village Green Student Housing</v>
      </c>
      <c r="C24" s="35" t="str">
        <v>$649 - $839</v>
      </c>
      <c r="D24" s="36" t="n">
        <v>649</v>
      </c>
      <c r="E24" s="36" t="n">
        <v>839</v>
      </c>
      <c r="F24" s="36" t="n">
        <f>AVERAGE(D24:E24)</f>
        <v>744</v>
      </c>
      <c r="G24" s="37" t="n">
        <v>1.932509975</v>
      </c>
      <c r="H24" s="35" t="str">
        <v>&gt;1–3 mi</v>
      </c>
      <c r="I24" s="35" t="str">
        <v>Structured utility fields</v>
      </c>
      <c r="J24" s="35" t="str">
        <v>Electricity; Gas; Heat; Trash Removal; Water/Sewer</v>
      </c>
      <c r="K24" s="35" t="str">
        <v>Yes</v>
      </c>
      <c r="L24" s="35"/>
      <c r="M24" s="35" t="str">
        <v>Yes</v>
      </c>
      <c r="N24" s="35" t="str">
        <v>High-Speed Internet: Included</v>
      </c>
      <c r="O24" s="35" t="str">
        <v>Not reported</v>
      </c>
      <c r="P24" s="35" t="str">
        <v>https://offcampus.dasa.ncsu.edu/housing/property/village-green-student-housing/jjs8f07</v>
      </c>
    </row>
    <row r="25">
      <c r="A25" s="35" t="str">
        <v>ocpbhbkvy9</v>
      </c>
      <c r="B25" s="35" t="str">
        <v>Voyager House</v>
      </c>
      <c r="C25" s="35" t="str">
        <v>$800</v>
      </c>
      <c r="D25" s="36" t="n">
        <v>800</v>
      </c>
      <c r="E25" s="36" t="n">
        <v>800</v>
      </c>
      <c r="F25" s="36" t="n">
        <f>AVERAGE(D25:E25)</f>
        <v>800</v>
      </c>
      <c r="G25" s="37" t="n">
        <v>1.884049975</v>
      </c>
      <c r="H25" s="35" t="str">
        <v>&gt;1–3 mi</v>
      </c>
      <c r="I25" s="35" t="str">
        <v>Structured utility fields</v>
      </c>
      <c r="J25" s="35" t="str">
        <v>Electricity; Gas; Heat; Trash Removal; Water/Sewer</v>
      </c>
      <c r="K25" s="35" t="str">
        <v>Yes</v>
      </c>
      <c r="L25" s="35"/>
      <c r="M25" s="35" t="str">
        <v>Yes</v>
      </c>
      <c r="N25" s="35" t="str">
        <v>High-Speed Internet: Included</v>
      </c>
      <c r="O25" s="35" t="str">
        <v>None</v>
      </c>
      <c r="P25" s="35" t="str">
        <v>https://offcampus.dasa.ncsu.edu/housing/property/voyager-house/ocpbhbkvy9</v>
      </c>
    </row>
    <row r="26">
      <c r="A26" s="35" t="str">
        <v>e13mz5m</v>
      </c>
      <c r="B26" s="35" t="str">
        <v>University Suites Student Housing</v>
      </c>
      <c r="C26" s="35" t="str">
        <v>$699 - $799</v>
      </c>
      <c r="D26" s="36" t="n">
        <v>699</v>
      </c>
      <c r="E26" s="36" t="n">
        <v>799</v>
      </c>
      <c r="F26" s="36" t="n">
        <f>AVERAGE(D26:E26)</f>
        <v>749</v>
      </c>
      <c r="G26" s="37" t="n">
        <v>2.29213488</v>
      </c>
      <c r="H26" s="35" t="str">
        <v>&gt;1–3 mi</v>
      </c>
      <c r="I26" s="35" t="str">
        <v>Structured utility fields</v>
      </c>
      <c r="J26" s="35" t="str">
        <v>Electricity; Trash Removal; Water/Sewer</v>
      </c>
      <c r="K26" s="35" t="str">
        <v>No</v>
      </c>
      <c r="L26" s="35"/>
      <c r="M26" s="35" t="str">
        <v>Yes</v>
      </c>
      <c r="N26" s="35" t="str">
        <v>High-Speed Internet: Included</v>
      </c>
      <c r="O26" s="35" t="str">
        <v>Not reported</v>
      </c>
      <c r="P26" s="35" t="str">
        <v>https://offcampus.dasa.ncsu.edu/housing/property/university-suites-student-housing/e13mz5m</v>
      </c>
    </row>
    <row r="27">
      <c r="A27" s="35" t="str">
        <v>ocpepvxvln</v>
      </c>
      <c r="B27" s="35" t="str">
        <v>Village Green Student Living</v>
      </c>
      <c r="C27" s="35" t="str">
        <v>$831</v>
      </c>
      <c r="D27" s="36" t="n">
        <v>831</v>
      </c>
      <c r="E27" s="36" t="n">
        <v>831</v>
      </c>
      <c r="F27" s="36" t="n">
        <f>AVERAGE(D27:E27)</f>
        <v>831</v>
      </c>
      <c r="G27" s="37" t="n">
        <v>1.815869405</v>
      </c>
      <c r="H27" s="35" t="str">
        <v>&gt;1–3 mi</v>
      </c>
      <c r="I27" s="35" t="str">
        <v>Saved description</v>
      </c>
      <c r="J27" s="35"/>
      <c r="K27" s="35" t="str">
        <v>No</v>
      </c>
      <c r="L27" s="35" t="str">
        <v>The price of parking and all utilities are included in the base rent fee of ~$831/month.</v>
      </c>
      <c r="M27" s="35" t="str">
        <v>No</v>
      </c>
      <c r="N27" s="35"/>
      <c r="O27" s="35" t="str">
        <v>None</v>
      </c>
      <c r="P27" s="35" t="str">
        <v>https://offcampus.dasa.ncsu.edu/housing/property/village-green-student-living/ocpepvxvln</v>
      </c>
    </row>
    <row r="28">
      <c r="A28" s="35" t="str">
        <v>ocpgxr290w</v>
      </c>
      <c r="B28" s="35" t="str">
        <v>Spacious Forest Park Two-Room Suite + Private Bath - Walk to Campus (Includes Utilities)</v>
      </c>
      <c r="C28" s="35" t="str">
        <v>$1,225</v>
      </c>
      <c r="D28" s="36" t="n">
        <v>1225</v>
      </c>
      <c r="E28" s="36" t="n">
        <v>1225</v>
      </c>
      <c r="F28" s="36" t="n">
        <f>AVERAGE(D28:E28)</f>
        <v>1225</v>
      </c>
      <c r="G28" s="37" t="n">
        <v>1.604060636</v>
      </c>
      <c r="H28" s="35" t="str">
        <v>&gt;1–3 mi</v>
      </c>
      <c r="I28" s="35" t="str">
        <v>Saved listing title</v>
      </c>
      <c r="J28" s="35"/>
      <c r="K28" s="35" t="str">
        <v>No</v>
      </c>
      <c r="L28" s="35"/>
      <c r="M28" s="35" t="str">
        <v>No</v>
      </c>
      <c r="N28" s="35"/>
      <c r="O28" s="35" t="str">
        <v>None</v>
      </c>
      <c r="P28" s="35" t="str">
        <v>https://offcampus.dasa.ncsu.edu/housing/property/spacious-forest-park-two-room-suite-private-bath-walk-to-campus-includes-utilities/ocpgxr290w</v>
      </c>
    </row>
    <row r="29">
      <c r="A29" s="35" t="str">
        <v>ocpsd8dpj6</v>
      </c>
      <c r="B29" s="35" t="str">
        <v>Spacious En-suite with private patio and garage parking in Crescent Ridge Townhome Community</v>
      </c>
      <c r="C29" s="35" t="str">
        <v>$900</v>
      </c>
      <c r="D29" s="36" t="n">
        <v>900</v>
      </c>
      <c r="E29" s="36" t="n">
        <v>900</v>
      </c>
      <c r="F29" s="36" t="n">
        <f>AVERAGE(D29:E29)</f>
        <v>900</v>
      </c>
      <c r="G29" s="37" t="n">
        <v>2.725369678</v>
      </c>
      <c r="H29" s="35" t="str">
        <v>&gt;1–3 mi</v>
      </c>
      <c r="I29" s="35" t="str">
        <v>Structured utility fields + saved description</v>
      </c>
      <c r="J29" s="35" t="str">
        <v>Electricity; Gas; Heat; Trash Removal; Water/Sewer</v>
      </c>
      <c r="K29" s="35" t="str">
        <v>Yes</v>
      </c>
      <c r="L29" s="35"/>
      <c r="M29" s="35" t="str">
        <v>Yes</v>
      </c>
      <c r="N29" s="35" t="str">
        <v>High-Speed Internet: Included | Internet and utilities are included as well as garage parking and access to the neighborhood pool.</v>
      </c>
      <c r="O29" s="35" t="str">
        <v>None</v>
      </c>
      <c r="P29" s="35" t="str">
        <v>https://offcampus.dasa.ncsu.edu/housing/property/spacious-en-suite-with-private-patio-and-garage-parking-in-crescent-ridge-townhome-community/ocpsd8dpj6</v>
      </c>
    </row>
    <row r="30">
      <c r="A30" s="35" t="str">
        <v>ocp2gxtxqc</v>
      </c>
      <c r="B30" s="35" t="str">
        <v>The Station</v>
      </c>
      <c r="C30" s="35" t="str">
        <v>$969</v>
      </c>
      <c r="D30" s="36" t="n">
        <v>969</v>
      </c>
      <c r="E30" s="36" t="n">
        <v>969</v>
      </c>
      <c r="F30" s="36" t="n">
        <f>AVERAGE(D30:E30)</f>
        <v>969</v>
      </c>
      <c r="G30" s="37" t="n">
        <v>2.152909218</v>
      </c>
      <c r="H30" s="35" t="str">
        <v>&gt;1–3 mi</v>
      </c>
      <c r="I30" s="35" t="str">
        <v>Saved description</v>
      </c>
      <c r="J30" s="35"/>
      <c r="K30" s="35" t="str">
        <v>No</v>
      </c>
      <c r="L30" s="35"/>
      <c r="M30" s="35" t="str">
        <v>No</v>
      </c>
      <c r="N30" s="35"/>
      <c r="O30" s="35" t="str">
        <v>None</v>
      </c>
      <c r="P30" s="35" t="str">
        <v>https://offcampus.dasa.ncsu.edu/housing/property/the-station/ocp2gxtxqc</v>
      </c>
    </row>
    <row r="31">
      <c r="A31" s="35" t="str">
        <v>ocppbmmgnt</v>
      </c>
      <c r="B31" s="35" t="str">
        <v>5 bedroom townhome available near NC State</v>
      </c>
      <c r="C31" s="35" t="str">
        <v>$650</v>
      </c>
      <c r="D31" s="36" t="n">
        <v>650</v>
      </c>
      <c r="E31" s="36" t="n">
        <v>650</v>
      </c>
      <c r="F31" s="36" t="n">
        <f>AVERAGE(D31:E31)</f>
        <v>650</v>
      </c>
      <c r="G31" s="37" t="n">
        <v>2.375235559</v>
      </c>
      <c r="H31" s="35" t="str">
        <v>&gt;1–3 mi</v>
      </c>
      <c r="I31" s="35" t="str">
        <v>Structured utility fields</v>
      </c>
      <c r="J31" s="35" t="str">
        <v>Trash Removal</v>
      </c>
      <c r="K31" s="35" t="str">
        <v>No</v>
      </c>
      <c r="L31" s="35"/>
      <c r="M31" s="35" t="str">
        <v>No</v>
      </c>
      <c r="N31" s="35"/>
      <c r="O31" s="35" t="str">
        <v>None</v>
      </c>
      <c r="P31" s="35" t="str">
        <v>https://offcampus.dasa.ncsu.edu/housing/property/5-bedroom-townhome-available-near-nc-state/ocppbmmgnt</v>
      </c>
    </row>
    <row r="32">
      <c r="A32" s="35" t="str">
        <v>ocpx51p4tm</v>
      </c>
      <c r="B32" s="35" t="str">
        <v>Condo near NCSU</v>
      </c>
      <c r="C32" s="35" t="str">
        <v>$800</v>
      </c>
      <c r="D32" s="36" t="n">
        <v>800</v>
      </c>
      <c r="E32" s="36" t="n">
        <v>800</v>
      </c>
      <c r="F32" s="36" t="n">
        <f>AVERAGE(D32:E32)</f>
        <v>800</v>
      </c>
      <c r="G32" s="37" t="n">
        <v>1.625432361</v>
      </c>
      <c r="H32" s="35" t="str">
        <v>&gt;1–3 mi</v>
      </c>
      <c r="I32" s="35" t="str">
        <v>Saved description</v>
      </c>
      <c r="J32" s="35"/>
      <c r="K32" s="35" t="str">
        <v>No</v>
      </c>
      <c r="L32" s="35"/>
      <c r="M32" s="35" t="str">
        <v>Yes</v>
      </c>
      <c r="N32" s="35" t="str">
        <v>All utilities (wifi, electricity, water) are included.</v>
      </c>
      <c r="O32" s="35" t="str">
        <v>None</v>
      </c>
      <c r="P32" s="35" t="str">
        <v>https://offcampus.dasa.ncsu.edu/housing/property/condo-near-ncsu/ocpx51p4tm</v>
      </c>
    </row>
    <row r="33">
      <c r="A33" s="35" t="str">
        <v>ocphdtdgk2</v>
      </c>
      <c r="B33" s="35" t="str">
        <v>105 Friendly Drive! Furnished Room Rentals with Utilities!</v>
      </c>
      <c r="C33" s="35" t="str">
        <v>$775 - $1,050</v>
      </c>
      <c r="D33" s="36" t="n">
        <v>775</v>
      </c>
      <c r="E33" s="36" t="n">
        <v>1050</v>
      </c>
      <c r="F33" s="36" t="n">
        <f>AVERAGE(D33:E33)</f>
        <v>912.5</v>
      </c>
      <c r="G33" s="37" t="n">
        <v>0.734302196</v>
      </c>
      <c r="H33" s="35" t="str">
        <v>0–1 mi</v>
      </c>
      <c r="I33" s="35" t="str">
        <v>Structured utility fields + saved description</v>
      </c>
      <c r="J33" s="35" t="str">
        <v>Electricity; Heat; Trash Removal; Water/Sewer</v>
      </c>
      <c r="K33" s="35" t="str">
        <v>No</v>
      </c>
      <c r="L33" s="35"/>
      <c r="M33" s="35" t="str">
        <v>Yes</v>
      </c>
      <c r="N33" s="35" t="str">
        <v>High-Speed Internet: Included | High-Speed Internet &amp; Utilities INCLUDED – Stay connected and stress-free.</v>
      </c>
      <c r="O33" s="35" t="str">
        <v>$10</v>
      </c>
      <c r="P33" s="35" t="str">
        <v>https://offcampus.dasa.ncsu.edu/housing/property/105-friendly-drive-furnished-room-rentals-with-utilities/ocphdtdgk2</v>
      </c>
    </row>
    <row r="34">
      <c r="A34" s="35" t="str">
        <v>ocp4lh373j</v>
      </c>
      <c r="B34" s="35" t="str">
        <v>Hub Raleigh – 4x2 Lease Takeover, Available Now</v>
      </c>
      <c r="C34" s="35" t="str">
        <v>$1,199</v>
      </c>
      <c r="D34" s="36" t="n">
        <v>1199</v>
      </c>
      <c r="E34" s="36" t="n">
        <v>1199</v>
      </c>
      <c r="F34" s="36" t="n">
        <f>AVERAGE(D34:E34)</f>
        <v>1199</v>
      </c>
      <c r="G34" s="37" t="n">
        <v>1.249575868</v>
      </c>
      <c r="H34" s="35" t="str">
        <v>&gt;1–3 mi</v>
      </c>
      <c r="I34" s="35" t="str">
        <v>Saved description</v>
      </c>
      <c r="J34" s="35"/>
      <c r="K34" s="35" t="str">
        <v>No</v>
      </c>
      <c r="L34" s="35"/>
      <c r="M34" s="35" t="str">
        <v>No</v>
      </c>
      <c r="N34" s="35"/>
      <c r="O34" s="35" t="str">
        <v>None</v>
      </c>
      <c r="P34" s="35" t="str">
        <v>https://offcampus.dasa.ncsu.edu/housing/property/hub-raleigh-4x2-lease-takeover-available-now/ocp4lh373j</v>
      </c>
    </row>
    <row r="35">
      <c r="A35" s="35" t="str">
        <v>se736e5</v>
      </c>
      <c r="B35" s="35" t="str">
        <v>College Inn</v>
      </c>
      <c r="C35" s="35" t="str">
        <v>$859 - $1,275</v>
      </c>
      <c r="D35" s="36" t="n">
        <v>859</v>
      </c>
      <c r="E35" s="36" t="n">
        <v>1275</v>
      </c>
      <c r="F35" s="36" t="n">
        <f>AVERAGE(D35:E35)</f>
        <v>1067</v>
      </c>
      <c r="G35" s="37" t="n">
        <v>0.246460777</v>
      </c>
      <c r="H35" s="35" t="str">
        <v>0–1 mi</v>
      </c>
      <c r="I35" s="35" t="str">
        <v>Structured utility fields</v>
      </c>
      <c r="J35" s="35" t="str">
        <v>Electricity; Gas; Heat; Water/Sewer</v>
      </c>
      <c r="K35" s="35" t="str">
        <v>No</v>
      </c>
      <c r="L35" s="35"/>
      <c r="M35" s="35" t="str">
        <v>Yes</v>
      </c>
      <c r="N35" s="35" t="str">
        <v>High-Speed Internet: Included</v>
      </c>
      <c r="O35" s="35" t="str">
        <v>Not reported</v>
      </c>
      <c r="P35" s="35" t="str">
        <v>https://offcampus.dasa.ncsu.edu/housing/property/college-inn/se736e5</v>
      </c>
    </row>
    <row r="36">
      <c r="A36" s="35" t="str">
        <v>ocp0gblz91</v>
      </c>
      <c r="B36" s="35" t="str">
        <v>Great value in beautiful SW Raleigh</v>
      </c>
      <c r="C36" s="35" t="str">
        <v>$850</v>
      </c>
      <c r="D36" s="36" t="n">
        <v>850</v>
      </c>
      <c r="E36" s="36" t="n">
        <v>850</v>
      </c>
      <c r="F36" s="36" t="n">
        <f>AVERAGE(D36:E36)</f>
        <v>850</v>
      </c>
      <c r="G36" s="37" t="n">
        <v>3.494769248</v>
      </c>
      <c r="H36" s="35" t="str">
        <v>&gt;3–5 mi</v>
      </c>
      <c r="I36" s="35" t="str">
        <v>Saved description</v>
      </c>
      <c r="J36" s="35"/>
      <c r="K36" s="35" t="str">
        <v>No</v>
      </c>
      <c r="L36" s="35" t="str">
        <v>ALL utilities included (i.e., high speed internet, electricity/gas, water, etc.).</v>
      </c>
      <c r="M36" s="35" t="str">
        <v>Yes</v>
      </c>
      <c r="N36" s="35" t="str">
        <v>ALL utilities included (i.e., high speed internet, electricity/gas, water, etc.).</v>
      </c>
      <c r="O36" s="35" t="str">
        <v>None</v>
      </c>
      <c r="P36" s="35" t="str">
        <v>https://offcampus.dasa.ncsu.edu/housing/property/great-value-in-beautiful-sw-raleigh/ocp0gblz91</v>
      </c>
    </row>
    <row r="37">
      <c r="A37" s="35" t="str">
        <v>ocpteqgjg8</v>
      </c>
      <c r="B37" s="35" t="str">
        <v>Huge modern studio suite- private entrance and beth- near NCSU</v>
      </c>
      <c r="C37" s="35" t="str">
        <v>$1,150</v>
      </c>
      <c r="D37" s="36" t="n">
        <v>1150</v>
      </c>
      <c r="E37" s="36" t="n">
        <v>1150</v>
      </c>
      <c r="F37" s="36" t="n">
        <f>AVERAGE(D37:E37)</f>
        <v>1150</v>
      </c>
      <c r="G37" s="37" t="n">
        <v>2.969896437</v>
      </c>
      <c r="H37" s="35" t="str">
        <v>&gt;1–3 mi</v>
      </c>
      <c r="I37" s="35" t="str">
        <v>Saved description</v>
      </c>
      <c r="J37" s="35"/>
      <c r="K37" s="35" t="str">
        <v>No</v>
      </c>
      <c r="L37" s="35"/>
      <c r="M37" s="35" t="str">
        <v>Yes</v>
      </c>
      <c r="N37" s="35" t="str">
        <v>Stress-Free Living: Rent includes electricity, water, gas, trash, and ultra-high-speed Wi-Fi (capped at reasonable monthly usage).</v>
      </c>
      <c r="O37" s="35" t="str">
        <v>None</v>
      </c>
      <c r="P37" s="35" t="str">
        <v>https://offcampus.dasa.ncsu.edu/housing/property/huge-modern-studio-suite-private-entrance-and-beth-near-ncsu/ocpteqgjg8</v>
      </c>
    </row>
    <row r="38">
      <c r="A38" s="35" t="str">
        <v>ocp4t7wmxk</v>
      </c>
      <c r="B38" s="35" t="str">
        <v>University Oaks</v>
      </c>
      <c r="C38" s="35" t="str">
        <v>$725</v>
      </c>
      <c r="D38" s="36" t="n">
        <v>725</v>
      </c>
      <c r="E38" s="36" t="n">
        <v>725</v>
      </c>
      <c r="F38" s="36" t="n">
        <f>AVERAGE(D38:E38)</f>
        <v>725</v>
      </c>
      <c r="G38" s="37" t="n">
        <v>0.456914407</v>
      </c>
      <c r="H38" s="35" t="str">
        <v>0–1 mi</v>
      </c>
      <c r="I38" s="35" t="str">
        <v>Saved description</v>
      </c>
      <c r="J38" s="35"/>
      <c r="K38" s="35" t="str">
        <v>No</v>
      </c>
      <c r="L38" s="35"/>
      <c r="M38" s="35" t="str">
        <v>Yes</v>
      </c>
      <c r="N38" s="35" t="str">
        <v>Utilities included: Water, WiFi, and electricity!</v>
      </c>
      <c r="O38" s="35" t="str">
        <v>None</v>
      </c>
      <c r="P38" s="35" t="str">
        <v>https://offcampus.dasa.ncsu.edu/housing/property/university-oaks/ocp4t7wmxk</v>
      </c>
    </row>
    <row r="39">
      <c r="A39" s="35" t="str">
        <v>ocpq99qjpx</v>
      </c>
      <c r="B39" s="35" t="str">
        <v>Apartment close to NCSU</v>
      </c>
      <c r="C39" s="35" t="str">
        <v>$645</v>
      </c>
      <c r="D39" s="36" t="n">
        <v>645</v>
      </c>
      <c r="E39" s="36" t="n">
        <v>645</v>
      </c>
      <c r="F39" s="36" t="n">
        <f>AVERAGE(D39:E39)</f>
        <v>645</v>
      </c>
      <c r="G39" s="37" t="n">
        <v>1.653317243</v>
      </c>
      <c r="H39" s="35" t="str">
        <v>&gt;1–3 mi</v>
      </c>
      <c r="I39" s="35" t="str">
        <v>Structured utility fields + saved description</v>
      </c>
      <c r="J39" s="35" t="str">
        <v>Electricity; Water/Sewer</v>
      </c>
      <c r="K39" s="35" t="str">
        <v>No</v>
      </c>
      <c r="L39" s="35"/>
      <c r="M39" s="35" t="str">
        <v>No</v>
      </c>
      <c r="N39" s="35"/>
      <c r="O39" s="35" t="str">
        <v>Not reported</v>
      </c>
      <c r="P39" s="35" t="str">
        <v>https://offcampus.dasa.ncsu.edu/housing/property/apartment-close-to-ncsu/ocpq99qjpx</v>
      </c>
    </row>
    <row r="40">
      <c r="A40" s="35" t="str">
        <v>ocps6ymwl7</v>
      </c>
      <c r="B40" s="35" t="str">
        <v>University Woods</v>
      </c>
      <c r="C40" s="35" t="str">
        <v>$600</v>
      </c>
      <c r="D40" s="36" t="n">
        <v>600</v>
      </c>
      <c r="E40" s="36" t="n">
        <v>600</v>
      </c>
      <c r="F40" s="36" t="n">
        <f>AVERAGE(D40:E40)</f>
        <v>600</v>
      </c>
      <c r="G40" s="37" t="n">
        <v>2.123645671</v>
      </c>
      <c r="H40" s="35" t="str">
        <v>&gt;1–3 mi</v>
      </c>
      <c r="I40" s="35" t="str">
        <v>Structured utility fields + saved description</v>
      </c>
      <c r="J40" s="35" t="str">
        <v>Electricity; Water/Sewer</v>
      </c>
      <c r="K40" s="35" t="str">
        <v>No</v>
      </c>
      <c r="L40" s="35"/>
      <c r="M40" s="35" t="str">
        <v>No</v>
      </c>
      <c r="N40" s="35"/>
      <c r="O40" s="35" t="str">
        <v>Not reported</v>
      </c>
      <c r="P40" s="35" t="str">
        <v>https://offcampus.dasa.ncsu.edu/housing/property/university-woods/ocps6ymwl7</v>
      </c>
    </row>
    <row r="41">
      <c r="A41" s="35" t="str">
        <v>ocpvgtpebg</v>
      </c>
      <c r="B41" s="35" t="str">
        <v>Lake Park Condos- Room Rental with Utilities</v>
      </c>
      <c r="C41" s="35" t="str">
        <v>$500 - $600</v>
      </c>
      <c r="D41" s="36" t="n">
        <v>500</v>
      </c>
      <c r="E41" s="36" t="n">
        <v>600</v>
      </c>
      <c r="F41" s="36" t="n">
        <f>AVERAGE(D41:E41)</f>
        <v>550</v>
      </c>
      <c r="G41" s="37" t="n">
        <v>1.637356936</v>
      </c>
      <c r="H41" s="35" t="str">
        <v>&gt;1–3 mi</v>
      </c>
      <c r="I41" s="35" t="str">
        <v>Structured utility fields + saved description</v>
      </c>
      <c r="J41" s="35" t="str">
        <v>Electricity; Water/Sewer</v>
      </c>
      <c r="K41" s="35" t="str">
        <v>No</v>
      </c>
      <c r="L41" s="35"/>
      <c r="M41" s="35" t="str">
        <v>No</v>
      </c>
      <c r="N41" s="35"/>
      <c r="O41" s="35" t="str">
        <v>Not reported</v>
      </c>
      <c r="P41" s="35" t="str">
        <v>https://offcampus.dasa.ncsu.edu/housing/property/lake-park-condos-room-rental-with-utilities/ocpvgtpebg</v>
      </c>
    </row>
    <row r="42">
      <c r="A42" s="35" t="str">
        <v>5hme2mn</v>
      </c>
      <c r="B42" s="35" t="str">
        <v>The Station Raleigh</v>
      </c>
      <c r="C42" s="35" t="str">
        <v>$749 - $1,930</v>
      </c>
      <c r="D42" s="36" t="n">
        <v>749</v>
      </c>
      <c r="E42" s="36" t="n">
        <v>1930</v>
      </c>
      <c r="F42" s="36" t="n">
        <f>AVERAGE(D42:E42)</f>
        <v>1339.5</v>
      </c>
      <c r="G42" s="37" t="n">
        <v>2.173712249</v>
      </c>
      <c r="H42" s="35" t="str">
        <v>&gt;1–3 mi</v>
      </c>
      <c r="I42" s="35" t="str">
        <v>Structured utility fields</v>
      </c>
      <c r="J42" s="35" t="str">
        <v>Gas; Heat; Trash Removal; Water/Sewer</v>
      </c>
      <c r="K42" s="35" t="str">
        <v>No</v>
      </c>
      <c r="L42" s="35"/>
      <c r="M42" s="35" t="str">
        <v>Yes</v>
      </c>
      <c r="N42" s="35" t="str">
        <v>High-Speed Internet: Included</v>
      </c>
      <c r="O42" s="35" t="str">
        <v>Not reported</v>
      </c>
      <c r="P42" s="35" t="str">
        <v>https://offcampus.dasa.ncsu.edu/housing/property/the-station-raleigh/5hme2mn</v>
      </c>
    </row>
    <row r="43">
      <c r="A43" s="35" t="str">
        <v>lpl9fce</v>
      </c>
      <c r="B43" s="35" t="str">
        <v>2850 Sanderford Rd (Raleigh, NC)</v>
      </c>
      <c r="C43" s="35" t="str">
        <v>$650</v>
      </c>
      <c r="D43" s="36" t="n">
        <v>650</v>
      </c>
      <c r="E43" s="36" t="n">
        <v>650</v>
      </c>
      <c r="F43" s="36" t="n">
        <f>AVERAGE(D43:E43)</f>
        <v>650</v>
      </c>
      <c r="G43" s="37" t="n">
        <v>4.772916888</v>
      </c>
      <c r="H43" s="35" t="str">
        <v>&gt;3–5 mi</v>
      </c>
      <c r="I43" s="35" t="str">
        <v>Structured utility fields + saved description</v>
      </c>
      <c r="J43" s="35" t="str">
        <v>Electricity; Trash Removal; Water/Sewer</v>
      </c>
      <c r="K43" s="35" t="str">
        <v>No</v>
      </c>
      <c r="L43" s="35"/>
      <c r="M43" s="35" t="str">
        <v>Yes</v>
      </c>
      <c r="N43" s="35" t="str">
        <v>Water, sewage, trash, internet and power all included</v>
      </c>
      <c r="O43" s="35" t="str">
        <v>Not reported</v>
      </c>
      <c r="P43" s="35" t="str">
        <v>https://offcampus.dasa.ncsu.edu/housing/property/2850-sanderford-rd-raleigh-nc/lpl9fce</v>
      </c>
    </row>
    <row r="44">
      <c r="A44" s="35" t="str">
        <v>ocp67ldb5s</v>
      </c>
      <c r="B44" s="35" t="str">
        <v>The Wilde</v>
      </c>
      <c r="C44" s="35" t="str">
        <v>$860</v>
      </c>
      <c r="D44" s="36" t="n">
        <v>860</v>
      </c>
      <c r="E44" s="36" t="n">
        <v>860</v>
      </c>
      <c r="F44" s="36" t="n">
        <f>AVERAGE(D44:E44)</f>
        <v>860</v>
      </c>
      <c r="G44" s="37" t="n">
        <v>2.038270328</v>
      </c>
      <c r="H44" s="35" t="str">
        <v>&gt;1–3 mi</v>
      </c>
      <c r="I44" s="35" t="str">
        <v>Saved description</v>
      </c>
      <c r="J44" s="35"/>
      <c r="K44" s="35" t="str">
        <v>No</v>
      </c>
      <c r="L44" s="35" t="str">
        <v>The $860 rent is all inclusive of fees and utilities outside of 1 time administrative fees.</v>
      </c>
      <c r="M44" s="35" t="str">
        <v>No</v>
      </c>
      <c r="N44" s="35"/>
      <c r="O44" s="35" t="str">
        <v>Not reported</v>
      </c>
      <c r="P44" s="35" t="str">
        <v>https://offcampus.dasa.ncsu.edu/housing/property/the-wilde/ocp67ldb5s</v>
      </c>
    </row>
    <row r="45">
      <c r="A45" s="35" t="str">
        <v>ocp0psn632</v>
      </c>
      <c r="B45" s="35" t="str">
        <v>An apartments with 3 bed and 3 bath for NC State Students www.ncstudentsliving.com</v>
      </c>
      <c r="C45" s="35" t="str">
        <v>$650</v>
      </c>
      <c r="D45" s="36" t="n">
        <v>650</v>
      </c>
      <c r="E45" s="36" t="n">
        <v>650</v>
      </c>
      <c r="F45" s="36" t="n">
        <f>AVERAGE(D45:E45)</f>
        <v>650</v>
      </c>
      <c r="G45" s="37" t="n">
        <v>2.262000465</v>
      </c>
      <c r="H45" s="35" t="str">
        <v>&gt;1–3 mi</v>
      </c>
      <c r="I45" s="35" t="str">
        <v>Structured utility fields</v>
      </c>
      <c r="J45" s="35" t="str">
        <v>Trash Removal; Water/Sewer</v>
      </c>
      <c r="K45" s="35" t="str">
        <v>No</v>
      </c>
      <c r="L45" s="35"/>
      <c r="M45" s="35" t="str">
        <v>No</v>
      </c>
      <c r="N45" s="35"/>
      <c r="O45" s="35" t="str">
        <v>Not reported</v>
      </c>
      <c r="P45" s="35" t="str">
        <v>https://offcampus.dasa.ncsu.edu/housing/property/an-apartments-with-3-bed-and-3-bath-for-nc-state-students-www-ncstudentsliving-com/ocp0psn632</v>
      </c>
    </row>
    <row r="46">
      <c r="A46" s="35" t="str">
        <v>ocp5lwrmvq</v>
      </c>
      <c r="B46" s="35" t="str">
        <v>Convenient Kaplan Dr property near NCSU buses, park, grocery, with parking space &amp; private bathroom</v>
      </c>
      <c r="C46" s="35" t="str">
        <v>$675</v>
      </c>
      <c r="D46" s="36" t="n">
        <v>675</v>
      </c>
      <c r="E46" s="36" t="n">
        <v>675</v>
      </c>
      <c r="F46" s="36" t="n">
        <f>AVERAGE(D46:E46)</f>
        <v>675</v>
      </c>
      <c r="G46" s="37" t="n">
        <v>0.716855117</v>
      </c>
      <c r="H46" s="35" t="str">
        <v>0–1 mi</v>
      </c>
      <c r="I46" s="35" t="str">
        <v>Saved description</v>
      </c>
      <c r="J46" s="35"/>
      <c r="K46" s="35" t="str">
        <v>No</v>
      </c>
      <c r="L46" s="35"/>
      <c r="M46" s="35" t="str">
        <v>Yes</v>
      </c>
      <c r="N46" s="35" t="str">
        <v>Base rent is $675, so listed price is with utilities and internet.</v>
      </c>
      <c r="O46" s="35" t="str">
        <v>Not reported</v>
      </c>
      <c r="P46" s="35" t="str">
        <v>https://offcampus.dasa.ncsu.edu/housing/property/convenient-kaplan-dr-property-near-ncsu-buses-park-grocery-with-parking-space-and-private-bathroom/ocp5lwrmvq</v>
      </c>
    </row>
  </sheetData>
  <mergeCells>
    <mergeCell ref="A1:P1"/>
    <mergeCell ref="A2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RowHeight="15"/>
  <cols>
    <col min="1" max="1" width="14" hidden="0" customWidth="1"/>
    <col min="2" max="2" width="36" hidden="0" customWidth="1"/>
    <col min="3" max="3" width="16" hidden="0" customWidth="1"/>
    <col min="4" max="4" width="14" hidden="0" customWidth="1"/>
    <col min="5" max="5" width="14" hidden="0" customWidth="1"/>
    <col min="6" max="6" width="16" hidden="0" customWidth="1"/>
    <col min="7" max="7" width="13" hidden="0" customWidth="1"/>
    <col min="8" max="8" width="12" hidden="0" customWidth="1"/>
    <col min="9" max="9" width="27" hidden="0" customWidth="1"/>
    <col min="10" max="10" width="28" hidden="0" customWidth="1"/>
    <col min="11" max="11" width="14" hidden="0" customWidth="1"/>
    <col min="12" max="12" width="40" hidden="0" customWidth="1"/>
    <col min="13" max="13" width="13" hidden="0" customWidth="1"/>
    <col min="14" max="14" width="40" hidden="0" customWidth="1"/>
    <col min="15" max="15" width="18" hidden="0" customWidth="1"/>
    <col min="16" max="16" width="48" hidden="0" customWidth="1"/>
  </cols>
  <sheetData>
    <row r="1" ht="24" customHeight="1">
      <c r="A1" s="2" t="str">
        <v>Utility-inclusion audit — listings explicitly stating all utilities are included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24" customHeight="1">
      <c r="A2" s="6" t="inlineStr">
        <is>
          <t xml:space="preserve">Eight of 74 Main Campus private-bedroom analytic listings (10.8%) explicitly state in saved wording that all utilities are included or that the rent is inclusive of all utilities. Six of those eight (6 of 74 overall; 8.1%) also explicitly include internet/Wi-Fi. Internet/Wi-Fi is tracked separately and is not assumed.</t>
        </is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>
      <c r="A3" s="10" t="inlineStr">
        <is>
          <t xml:space="preserve">All-utilities listings</t>
        </is>
      </c>
      <c r="B3" s="22" t="inlineStr">
        <is>
          <t xml:space="preserve">8 of 74 · 10.8%</t>
        </is>
      </c>
      <c r="C3" s="10" t="str">
        <v>Mean advertised midpoint</v>
      </c>
      <c r="D3" s="22" t="n">
        <f>AVERAGE(F6:F13)</f>
        <v>823.25</v>
      </c>
      <c r="E3" s="10" t="inlineStr">
        <is>
          <t xml:space="preserve">All utilities + internet/Wi-Fi</t>
        </is>
      </c>
      <c r="F3" s="22" t="inlineStr">
        <is>
          <t xml:space="preserve">6 of 74 · 8.1%</t>
        </is>
      </c>
    </row>
    <row r="4" ht="34" customHeight="1">
      <c r="A4" s="34" t="str">
        <v>listing_id</v>
      </c>
      <c r="B4" s="34" t="str">
        <v>listing</v>
      </c>
      <c r="C4" s="34" t="str">
        <v>advertised_price</v>
      </c>
      <c r="D4" s="34" t="str">
        <v>rent_low_numeric</v>
      </c>
      <c r="E4" s="34" t="str">
        <v>rent_high_numeric</v>
      </c>
      <c r="F4" s="34" t="str">
        <v>advertised_midpoint</v>
      </c>
      <c r="G4" s="34" t="str">
        <v>distance_miles</v>
      </c>
      <c r="H4" s="34" t="str">
        <v>distance_band</v>
      </c>
      <c r="I4" s="34" t="str">
        <v>classification_basis</v>
      </c>
      <c r="J4" s="34" t="str">
        <v>core_utilities_included</v>
      </c>
      <c r="K4" s="34" t="str">
        <v>all_5_core_structured</v>
      </c>
      <c r="L4" s="34" t="str">
        <v>all_utilities_exact_wording</v>
      </c>
      <c r="M4" s="34" t="str">
        <v>internet_wifi_explicit</v>
      </c>
      <c r="N4" s="34" t="str">
        <v>internet_wifi_evidence</v>
      </c>
      <c r="O4" s="34" t="str">
        <v>required_monthly_fees_portal</v>
      </c>
      <c r="P4" s="34" t="str">
        <v>original_listing_url</v>
      </c>
    </row>
    <row r="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</row>
    <row r="6">
      <c r="A6" s="42" t="str">
        <v>ocpw46rjcl</v>
      </c>
      <c r="B6" s="42" t="str">
        <v>Brand New Luxury Furnished Townhome | 4 Bed /  3.5 Bath | 5 Min to NC State &amp; 3 Mins to Fenton +shop</v>
      </c>
      <c r="C6" s="42" t="str">
        <v>$900 - $1,050</v>
      </c>
      <c r="D6" s="43" t="n">
        <v>900</v>
      </c>
      <c r="E6" s="43" t="n">
        <v>1050</v>
      </c>
      <c r="F6" s="43" t="n">
        <f>AVERAGE(D6:E6)</f>
        <v>975</v>
      </c>
      <c r="G6" s="44" t="n">
        <v>3.33499703</v>
      </c>
      <c r="H6" s="42" t="str">
        <v>&gt;3–5 mi</v>
      </c>
      <c r="I6" s="42" t="str">
        <v>Saved description</v>
      </c>
      <c r="J6" s="42"/>
      <c r="K6" s="42" t="str">
        <v>No</v>
      </c>
      <c r="L6" s="42" t="str">
        <v>All utilities included</v>
      </c>
      <c r="M6" s="42" t="str">
        <v>Yes</v>
      </c>
      <c r="N6" s="42" t="str">
        <v>High-speed internet included</v>
      </c>
      <c r="O6" s="42" t="str">
        <v>None</v>
      </c>
      <c r="P6" s="42" t="str">
        <v>https://offcampus.dasa.ncsu.edu/housing/property/brand-new-luxury-furnished-townhome-4-bed-3-5-bath-5-min-to-nc-state-and-3-mins-to-fenton-shop/ocpw46rjcl</v>
      </c>
    </row>
    <row r="7">
      <c r="A7" s="42" t="str">
        <v>ocpchygggd</v>
      </c>
      <c r="B7" s="42" t="str">
        <v>Hurry 2 Rooms Left! – 4BR/4BA Condo Near NC State  – All Utilities &amp; Internet Included!</v>
      </c>
      <c r="C7" s="42" t="str">
        <v>$695</v>
      </c>
      <c r="D7" s="43" t="n">
        <v>695</v>
      </c>
      <c r="E7" s="43" t="n">
        <v>695</v>
      </c>
      <c r="F7" s="43" t="n">
        <f>AVERAGE(D7:E7)</f>
        <v>695</v>
      </c>
      <c r="G7" s="44" t="n">
        <v>2.192366298</v>
      </c>
      <c r="H7" s="42" t="str">
        <v>&gt;1–3 mi</v>
      </c>
      <c r="I7" s="42" t="str">
        <v>Structured utility fields + saved description</v>
      </c>
      <c r="J7" s="42" t="str">
        <v>Electricity; Gas; Heat; Trash Removal; Water/Sewer</v>
      </c>
      <c r="K7" s="42" t="str">
        <v>Yes</v>
      </c>
      <c r="L7" s="42" t="str">
        <v>Rent is $695 per month per room and includes all utilities (electricity, water, and internet), with no hidden fees.</v>
      </c>
      <c r="M7" s="42" t="str">
        <v>Yes</v>
      </c>
      <c r="N7" s="42" t="str">
        <v>High-Speed Internet: Included | Rent is $695 per month per room and includes all utilities (electricity, water, and internet), with no hidden fees.</v>
      </c>
      <c r="O7" s="42" t="str">
        <v>None</v>
      </c>
      <c r="P7" s="42" t="str">
        <v>https://offcampus.dasa.ncsu.edu/housing/property/hurry-2-rooms-left-4br-4ba-condo-near-nc-state-all-utilities-and-internet-included/ocpchygggd</v>
      </c>
    </row>
    <row r="8">
      <c r="A8" s="42" t="str">
        <v>ocpesl9n3p</v>
      </c>
      <c r="B8" s="42" t="str">
        <v>maisonNC --- Fully Furnished minutes away from Wolfline and Shopping</v>
      </c>
      <c r="C8" s="42" t="str">
        <v>$750</v>
      </c>
      <c r="D8" s="43" t="n">
        <v>750</v>
      </c>
      <c r="E8" s="43" t="n">
        <v>750</v>
      </c>
      <c r="F8" s="43" t="n">
        <f>AVERAGE(D8:E8)</f>
        <v>750</v>
      </c>
      <c r="G8" s="44" t="n">
        <v>1.619349362</v>
      </c>
      <c r="H8" s="42" t="str">
        <v>&gt;1–3 mi</v>
      </c>
      <c r="I8" s="42" t="str">
        <v>Saved description</v>
      </c>
      <c r="J8" s="42"/>
      <c r="K8" s="42" t="str">
        <v>No</v>
      </c>
      <c r="L8" s="42" t="str">
        <v>All utilities, wifi (google fiber) and parking included in the rent.</v>
      </c>
      <c r="M8" s="42" t="str">
        <v>Yes</v>
      </c>
      <c r="N8" s="42" t="str">
        <v>All utilities, wifi (google fiber) and parking included in the rent.</v>
      </c>
      <c r="O8" s="42" t="str">
        <v>None</v>
      </c>
      <c r="P8" s="42" t="str">
        <v>https://offcampus.dasa.ncsu.edu/housing/property/maisonnc-fully-furnished-minutes-away-from-wolfline-and-shopping/ocpesl9n3p</v>
      </c>
    </row>
    <row r="9">
      <c r="A9" s="42" t="str">
        <v>ocpcm3jede</v>
      </c>
      <c r="B9" s="42" t="str">
        <v>maisonNC --- Fully Furnished minutes away from Wolfline and Shopping</v>
      </c>
      <c r="C9" s="42" t="str">
        <v>$750</v>
      </c>
      <c r="D9" s="43" t="n">
        <v>750</v>
      </c>
      <c r="E9" s="43" t="n">
        <v>750</v>
      </c>
      <c r="F9" s="43" t="n">
        <f>AVERAGE(D9:E9)</f>
        <v>750</v>
      </c>
      <c r="G9" s="44" t="n">
        <v>1.600371218</v>
      </c>
      <c r="H9" s="42" t="str">
        <v>&gt;1–3 mi</v>
      </c>
      <c r="I9" s="42" t="str">
        <v>Structured utility fields + saved description</v>
      </c>
      <c r="J9" s="42" t="str">
        <v>Electricity; Heat; Water/Sewer</v>
      </c>
      <c r="K9" s="42" t="str">
        <v>No</v>
      </c>
      <c r="L9" s="42" t="str">
        <v>Rent includes all utilities, wifi and parking.</v>
      </c>
      <c r="M9" s="42" t="str">
        <v>Yes</v>
      </c>
      <c r="N9" s="42" t="str">
        <v>High-Speed Internet: Included | Rent includes all utilities, wifi and parking.</v>
      </c>
      <c r="O9" s="42" t="str">
        <v>None</v>
      </c>
      <c r="P9" s="42" t="str">
        <v>https://offcampus.dasa.ncsu.edu/housing/property/maisonnc-fully-furnished-minutes-away-from-wolfline-and-shopping/ocpcm3jede</v>
      </c>
    </row>
    <row r="10">
      <c r="A10" s="42" t="str">
        <v>ocpxdxd79p</v>
      </c>
      <c r="B10" s="42" t="str">
        <v>4BR/4BA Condo| On Wolfline | Preleasing 27-28 Special $850 Util/Parking Incld | Mile to Campus</v>
      </c>
      <c r="C10" s="42" t="str">
        <v>$875</v>
      </c>
      <c r="D10" s="43" t="n">
        <v>875</v>
      </c>
      <c r="E10" s="43" t="n">
        <v>875</v>
      </c>
      <c r="F10" s="43" t="n">
        <f>AVERAGE(D10:E10)</f>
        <v>875</v>
      </c>
      <c r="G10" s="44" t="n">
        <v>0.655411437</v>
      </c>
      <c r="H10" s="42" t="str">
        <v>0–1 mi</v>
      </c>
      <c r="I10" s="42" t="str">
        <v>Structured utility fields + saved description</v>
      </c>
      <c r="J10" s="42" t="str">
        <v>Electricity; Heat; Trash Removal; Water/Sewer</v>
      </c>
      <c r="K10" s="42" t="str">
        <v>No</v>
      </c>
      <c r="L10" s="42" t="str">
        <v>* All utilities included: Electric, water, trash, and unlimited Google Fiber High-Speed Internet</v>
      </c>
      <c r="M10" s="42" t="str">
        <v>Yes</v>
      </c>
      <c r="N10" s="42" t="str">
        <v>High-Speed Internet: Included | * All utilities included: Electric, water, trash, and unlimited Google Fiber High-Speed Internet</v>
      </c>
      <c r="O10" s="42" t="str">
        <v>None</v>
      </c>
      <c r="P10" s="42" t="str">
        <v>https://offcampus.dasa.ncsu.edu/housing/property/4br-4ba-condo-on-wolfline-preleasing-27-28-special-850-util-parking-incld-mile-to-campus/ocpxdxd79p</v>
      </c>
    </row>
    <row r="11">
      <c r="A11" s="35" t="str">
        <v>ocpepvxvln</v>
      </c>
      <c r="B11" s="35" t="str">
        <v>Village Green Student Living</v>
      </c>
      <c r="C11" s="35" t="str">
        <v>$831</v>
      </c>
      <c r="D11" s="36" t="n">
        <v>831</v>
      </c>
      <c r="E11" s="36" t="n">
        <v>831</v>
      </c>
      <c r="F11" s="36" t="n">
        <f>AVERAGE(D11:E11)</f>
        <v>831</v>
      </c>
      <c r="G11" s="37" t="n">
        <v>1.815869405</v>
      </c>
      <c r="H11" s="35" t="str">
        <v>&gt;1–3 mi</v>
      </c>
      <c r="I11" s="35" t="str">
        <v>Saved description</v>
      </c>
      <c r="J11" s="35"/>
      <c r="K11" s="35" t="str">
        <v>No</v>
      </c>
      <c r="L11" s="35" t="str">
        <v>The price of parking and all utilities are included in the base rent fee of ~$831/month.</v>
      </c>
      <c r="M11" s="35" t="str">
        <v>No</v>
      </c>
      <c r="N11" s="35"/>
      <c r="O11" s="35" t="str">
        <v>None</v>
      </c>
      <c r="P11" s="35" t="str">
        <v>https://offcampus.dasa.ncsu.edu/housing/property/village-green-student-living/ocpepvxvln</v>
      </c>
    </row>
    <row r="12">
      <c r="A12" s="42" t="str">
        <v>ocp0gblz91</v>
      </c>
      <c r="B12" s="42" t="str">
        <v>Great value in beautiful SW Raleigh</v>
      </c>
      <c r="C12" s="42" t="str">
        <v>$850</v>
      </c>
      <c r="D12" s="43" t="n">
        <v>850</v>
      </c>
      <c r="E12" s="43" t="n">
        <v>850</v>
      </c>
      <c r="F12" s="43" t="n">
        <f>AVERAGE(D12:E12)</f>
        <v>850</v>
      </c>
      <c r="G12" s="44" t="n">
        <v>3.494769248</v>
      </c>
      <c r="H12" s="42" t="str">
        <v>&gt;3–5 mi</v>
      </c>
      <c r="I12" s="42" t="str">
        <v>Saved description</v>
      </c>
      <c r="J12" s="42"/>
      <c r="K12" s="42" t="str">
        <v>No</v>
      </c>
      <c r="L12" s="42" t="str">
        <v>ALL utilities included (i.e., high speed internet, electricity/gas, water, etc.).</v>
      </c>
      <c r="M12" s="42" t="str">
        <v>Yes</v>
      </c>
      <c r="N12" s="42" t="str">
        <v>ALL utilities included (i.e., high speed internet, electricity/gas, water, etc.).</v>
      </c>
      <c r="O12" s="42" t="str">
        <v>None</v>
      </c>
      <c r="P12" s="42" t="str">
        <v>https://offcampus.dasa.ncsu.edu/housing/property/great-value-in-beautiful-sw-raleigh/ocp0gblz91</v>
      </c>
    </row>
    <row r="13">
      <c r="A13" s="35" t="str">
        <v>ocp67ldb5s</v>
      </c>
      <c r="B13" s="35" t="str">
        <v>The Wilde</v>
      </c>
      <c r="C13" s="35" t="str">
        <v>$860</v>
      </c>
      <c r="D13" s="36" t="n">
        <v>860</v>
      </c>
      <c r="E13" s="36" t="n">
        <v>860</v>
      </c>
      <c r="F13" s="36" t="n">
        <f>AVERAGE(D13:E13)</f>
        <v>860</v>
      </c>
      <c r="G13" s="37" t="n">
        <v>2.038270328</v>
      </c>
      <c r="H13" s="35" t="str">
        <v>&gt;1–3 mi</v>
      </c>
      <c r="I13" s="35" t="str">
        <v>Saved description</v>
      </c>
      <c r="J13" s="35"/>
      <c r="K13" s="35" t="str">
        <v>No</v>
      </c>
      <c r="L13" s="35" t="str">
        <v>The $860 rent is all inclusive of fees and utilities outside of 1 time administrative fees.</v>
      </c>
      <c r="M13" s="35" t="str">
        <v>No</v>
      </c>
      <c r="N13" s="35"/>
      <c r="O13" s="35" t="str">
        <v>Not reported</v>
      </c>
      <c r="P13" s="35" t="str">
        <v>https://offcampus.dasa.ncsu.edu/housing/property/the-wilde/ocp67ldb5s</v>
      </c>
    </row>
  </sheetData>
  <mergeCells>
    <mergeCell ref="A1:P1"/>
    <mergeCell ref="A2:P2"/>
  </mergeCells>
  <pageMargins left="0.7" right="0.7" top="0.75" bottom="0.75" header="0.3" footer="0.3"/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6" hidden="0" customWidth="1"/>
    <x:col min="3" max="3" width="16" hidden="0" customWidth="1"/>
    <x:col min="4" max="4" width="14" hidden="0" customWidth="1"/>
    <x:col min="5" max="5" width="14" hidden="0" customWidth="1"/>
    <x:col min="6" max="6" width="16" hidden="0" customWidth="1"/>
    <x:col min="7" max="7" width="13" hidden="0" customWidth="1"/>
    <x:col min="8" max="8" width="12" hidden="0" customWidth="1"/>
    <x:col min="9" max="9" width="28" hidden="0" customWidth="1"/>
    <x:col min="10" max="10" width="28" hidden="0" customWidth="1"/>
    <x:col min="11" max="11" width="14" hidden="0" customWidth="1"/>
    <x:col min="12" max="12" width="34" hidden="0" customWidth="1"/>
    <x:col min="13" max="13" width="38" hidden="0" customWidth="1"/>
    <x:col min="14" max="14" width="16" hidden="0" customWidth="1"/>
    <x:col min="15" max="15" width="38" hidden="0" customWidth="1"/>
    <x:col min="16" max="16" width="38" hidden="0" customWidth="1"/>
    <x:col min="17" max="17" width="16" hidden="0" customWidth="1"/>
    <x:col min="18" max="18" width="42" hidden="0" customWidth="1"/>
    <x:col min="19" max="19" width="18" hidden="0" customWidth="1"/>
    <x:col min="20" max="20" width="48" hidden="0" customWidth="1"/>
  </x:cols>
  <x:sheetData>
    <x:row r="1">
      <x:c r="A1" s="2" t="str">
        <x:v>Source audit CSV — original columns and saved evidence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6" t="str">
        <x:v>This sheet reproduces the 41 listing rows and four formula-backed check rows from data/audits/ncsu-room-utilities-audit.csv. Formula references are re-based to the worksheet rows so Excel evaluates cleanly.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4">
      <x:c r="A4" s="34" t="str">
        <x:v>listing_id</x:v>
      </x:c>
      <x:c r="B4" s="34" t="str">
        <x:v>listing</x:v>
      </x:c>
      <x:c r="C4" s="34" t="str">
        <x:v>advertised_price</x:v>
      </x:c>
      <x:c r="D4" s="34" t="str">
        <x:v>rent_low_numeric</x:v>
      </x:c>
      <x:c r="E4" s="34" t="str">
        <x:v>rent_high_numeric</x:v>
      </x:c>
      <x:c r="F4" s="34" t="str">
        <x:v>advertised_midpoint_excel</x:v>
      </x:c>
      <x:c r="G4" s="34" t="str">
        <x:v>distance_miles</x:v>
      </x:c>
      <x:c r="H4" s="34" t="str">
        <x:v>distance_band</x:v>
      </x:c>
      <x:c r="I4" s="34" t="str">
        <x:v>any_utility_classification_basis</x:v>
      </x:c>
      <x:c r="J4" s="34" t="str">
        <x:v>core_utilities_included_from_structured_fields</x:v>
      </x:c>
      <x:c r="K4" s="34" t="str">
        <x:v>all_5_core_structured</x:v>
      </x:c>
      <x:c r="L4" s="34" t="str">
        <x:v>portal_utility_line_items_verbatim</x:v>
      </x:c>
      <x:c r="M4" s="34" t="str">
        <x:v>description_utility_wording_verbatim</x:v>
      </x:c>
      <x:c r="N4" s="34" t="str">
        <x:v>all_utilities_explicit_manual</x:v>
      </x:c>
      <x:c r="O4" s="34" t="str">
        <x:v>all_utilities_exact_wording</x:v>
      </x:c>
      <x:c r="P4" s="34" t="str">
        <x:v>all_utilities_manual_review_note</x:v>
      </x:c>
      <x:c r="Q4" s="34" t="str">
        <x:v>internet_wifi_explicit</x:v>
      </x:c>
      <x:c r="R4" s="34" t="str">
        <x:v>internet_wifi_evidence</x:v>
      </x:c>
      <x:c r="S4" s="34" t="str">
        <x:v>required_monthly_fees_portal</x:v>
      </x:c>
      <x:c r="T4" s="34" t="str">
        <x:v>original_listing_url</x:v>
      </x:c>
    </x:row>
    <x:row r="5">
      <x:c r="A5" s="35" t="str">
        <x:v>ocpet5b7hm</x:v>
      </x:c>
      <x:c r="B5" s="35" t="str">
        <x:v>Modern/High Ceilings 2bed/2 bath</x:v>
      </x:c>
      <x:c r="C5" s="35" t="str">
        <x:v>$1,250</x:v>
      </x:c>
      <x:c r="D5" s="36" t="n">
        <x:v>1250</x:v>
      </x:c>
      <x:c r="E5" s="36" t="n">
        <x:v>1250</x:v>
      </x:c>
      <x:c r="F5" s="36" t="n">
        <x:f>AVERAGE(D5:E5)</x:f>
        <x:v>1250</x:v>
      </x:c>
      <x:c r="G5" s="37" t="n">
        <x:v>1.026552005</x:v>
      </x:c>
      <x:c r="H5" s="35" t="str">
        <x:v>&gt;1–3 mi</x:v>
      </x:c>
      <x:c r="I5" s="35" t="str">
        <x:v>Structured utility fields</x:v>
      </x:c>
      <x:c r="J5" s="35" t="str">
        <x:v>Electricity; Gas; Heat; Trash Removal; Water/Sewer</x:v>
      </x:c>
      <x:c r="K5" s="35" t="str">
        <x:v>Yes</x:v>
      </x:c>
      <x:c r="L5" s="35" t="str">
        <x:v>Electricity: Included
Gas: Included
Heat: Included
Trash Removal: Included
Water/Sewer: Included</x:v>
      </x:c>
      <x:c r="M5" s="35"/>
      <x:c r="N5" s="35" t="str">
        <x:v>No</x:v>
      </x:c>
      <x:c r="O5" s="35"/>
      <x:c r="P5" s="35"/>
      <x:c r="Q5" s="35" t="str">
        <x:v>No</x:v>
      </x:c>
      <x:c r="R5" s="35"/>
      <x:c r="S5" s="35" t="str">
        <x:v>None</x:v>
      </x:c>
      <x:c r="T5" s="35" t="str">
        <x:v>https://offcampus.dasa.ncsu.edu/housing/property/modern-high-ceilings-2bed-2-bath/ocpet5b7hm</x:v>
      </x:c>
    </x:row>
    <x:row r="6">
      <x:c r="A6" s="35" t="str">
        <x:v>7e6kx1w</x:v>
      </x:c>
      <x:c r="B6" s="35" t="str">
        <x:v>Centennial Ridge Student Housing</x:v>
      </x:c>
      <x:c r="C6" s="35" t="str">
        <x:v>$599 - $2,157</x:v>
      </x:c>
      <x:c r="D6" s="36" t="n">
        <x:v>599</x:v>
      </x:c>
      <x:c r="E6" s="36" t="n">
        <x:v>2157</x:v>
      </x:c>
      <x:c r="F6" s="36" t="n">
        <x:f>AVERAGE(D6:E6)</x:f>
        <x:v>1378</x:v>
      </x:c>
      <x:c r="G6" s="37" t="n">
        <x:v>2.372144719</x:v>
      </x:c>
      <x:c r="H6" s="35" t="str">
        <x:v>&gt;1–3 mi</x:v>
      </x:c>
      <x:c r="I6" s="35" t="str">
        <x:v>Structured utility fields</x:v>
      </x:c>
      <x:c r="J6" s="35" t="str">
        <x:v>Electricity; Heat; Water/Sewer</x:v>
      </x:c>
      <x:c r="K6" s="35" t="str">
        <x:v>No</x:v>
      </x:c>
      <x:c r="L6" s="35" t="str">
        <x:v>Air Conditioning: Included
Electricity: Included
Heat: Included
High-Speed Internet: Included
Water/Sewer: Included</x:v>
      </x:c>
      <x:c r="M6" s="35"/>
      <x:c r="N6" s="35" t="str">
        <x:v>No</x:v>
      </x:c>
      <x:c r="O6" s="35"/>
      <x:c r="P6" s="35"/>
      <x:c r="Q6" s="35" t="str">
        <x:v>Yes</x:v>
      </x:c>
      <x:c r="R6" s="35" t="str">
        <x:v>High-Speed Internet: Included</x:v>
      </x:c>
      <x:c r="S6" s="35" t="str">
        <x:v>Not reported</x:v>
      </x:c>
      <x:c r="T6" s="35" t="str">
        <x:v>https://offcampus.dasa.ncsu.edu/housing/property/centennial-ridge-student-housing/7e6kx1w</x:v>
      </x:c>
    </x:row>
    <x:row r="7">
      <x:c r="A7" s="35" t="str">
        <x:v>ocpw46rjcl</x:v>
      </x:c>
      <x:c r="B7" s="35" t="str">
        <x:v>Brand New Luxury Furnished Townhome | 4 Bed /  3.5 Bath | 5 Min to NC State &amp; 3 Mins to Fenton +shop</x:v>
      </x:c>
      <x:c r="C7" s="35" t="str">
        <x:v>$900 - $1,050</x:v>
      </x:c>
      <x:c r="D7" s="36" t="n">
        <x:v>900</x:v>
      </x:c>
      <x:c r="E7" s="36" t="n">
        <x:v>1050</x:v>
      </x:c>
      <x:c r="F7" s="36" t="n">
        <x:f>AVERAGE(D7:E7)</x:f>
        <x:v>975</x:v>
      </x:c>
      <x:c r="G7" s="37" t="n">
        <x:v>3.33499703</x:v>
      </x:c>
      <x:c r="H7" s="35" t="str">
        <x:v>&gt;3–5 mi</x:v>
      </x:c>
      <x:c r="I7" s="35" t="str">
        <x:v>Saved description</x:v>
      </x:c>
      <x:c r="J7" s="35"/>
      <x:c r="K7" s="35" t="str">
        <x:v>No</x:v>
      </x:c>
      <x:c r="L7" s="35"/>
      <x:c r="M7" s="35" t="str">
        <x:v>All utilities included
High-speed internet included</x:v>
      </x:c>
      <x:c r="N7" s="35" t="str">
        <x:v>Yes</x:v>
      </x:c>
      <x:c r="O7" s="35" t="str">
        <x:v>All utilities included</x:v>
      </x:c>
      <x:c r="P7" s="35" t="str">
        <x:v>Manual review: saved wording explicitly states all utilities are included/inclusive.</x:v>
      </x:c>
      <x:c r="Q7" s="35" t="str">
        <x:v>Yes</x:v>
      </x:c>
      <x:c r="R7" s="35" t="str">
        <x:v>High-speed internet included</x:v>
      </x:c>
      <x:c r="S7" s="35" t="str">
        <x:v>None</x:v>
      </x:c>
      <x:c r="T7" s="35" t="str">
        <x:v>https://offcampus.dasa.ncsu.edu/housing/property/brand-new-luxury-furnished-townhome-4-bed-3-5-bath-5-min-to-nc-state-and-3-mins-to-fenton-shop/ocpw46rjcl</x:v>
      </x:c>
    </x:row>
    <x:row r="8">
      <x:c r="A8" s="35" t="str">
        <x:v>ocpchygggd</x:v>
      </x:c>
      <x:c r="B8" s="35" t="str">
        <x:v>Hurry 2 Rooms Left! – 4BR/4BA Condo Near NC State  – All Utilities &amp; Internet Included!</x:v>
      </x:c>
      <x:c r="C8" s="35" t="str">
        <x:v>$695</x:v>
      </x:c>
      <x:c r="D8" s="36" t="n">
        <x:v>695</x:v>
      </x:c>
      <x:c r="E8" s="36" t="n">
        <x:v>695</x:v>
      </x:c>
      <x:c r="F8" s="36" t="n">
        <x:f>AVERAGE(D8:E8)</x:f>
        <x:v>695</x:v>
      </x:c>
      <x:c r="G8" s="37" t="n">
        <x:v>2.192366298</x:v>
      </x:c>
      <x:c r="H8" s="35" t="str">
        <x:v>&gt;1–3 mi</x:v>
      </x:c>
      <x:c r="I8" s="35" t="str">
        <x:v>Structured utility fields + saved description</x:v>
      </x:c>
      <x:c r="J8" s="35" t="str">
        <x:v>Electricity; Gas; Heat; Trash Removal; Water/Sewer</x:v>
      </x:c>
      <x:c r="K8" s="35" t="str">
        <x:v>Yes</x:v>
      </x:c>
      <x:c r="L8" s="35" t="str">
        <x:v>Electricity: Included
Gas: Included
Heat: Included
High-Speed Internet: Included
Recycling: Included
Trash Removal: Included
Water/Sewer: Included</x:v>
      </x:c>
      <x:c r="M8" s="35" t="str">
        <x:v>Rent is $695 per month per room and includes all utilities (electricity, water, and internet), with no hidden fees.</x:v>
      </x:c>
      <x:c r="N8" s="35" t="str">
        <x:v>Yes</x:v>
      </x:c>
      <x:c r="O8" s="35" t="str">
        <x:v>Rent is $695 per month per room and includes all utilities (electricity, water, and internet), with no hidden fees.</x:v>
      </x:c>
      <x:c r="P8" s="35" t="str">
        <x:v>Manual review: saved wording explicitly states all utilities are included/inclusive.</x:v>
      </x:c>
      <x:c r="Q8" s="35" t="str">
        <x:v>Yes</x:v>
      </x:c>
      <x:c r="R8" s="35" t="str">
        <x:v>High-Speed Internet: Included | Rent is $695 per month per room and includes all utilities (electricity, water, and internet), with no hidden fees.</x:v>
      </x:c>
      <x:c r="S8" s="35" t="str">
        <x:v>None</x:v>
      </x:c>
      <x:c r="T8" s="35" t="str">
        <x:v>https://offcampus.dasa.ncsu.edu/housing/property/hurry-2-rooms-left-4br-4ba-condo-near-nc-state-all-utilities-and-internet-included/ocpchygggd</x:v>
      </x:c>
    </x:row>
    <x:row r="9">
      <x:c r="A9" s="35" t="str">
        <x:v>ocpesl9n3p</x:v>
      </x:c>
      <x:c r="B9" s="35" t="str">
        <x:v>maisonNC --- Fully Furnished minutes away from Wolfline and Shopping</x:v>
      </x:c>
      <x:c r="C9" s="35" t="str">
        <x:v>$750</x:v>
      </x:c>
      <x:c r="D9" s="36" t="n">
        <x:v>750</x:v>
      </x:c>
      <x:c r="E9" s="36" t="n">
        <x:v>750</x:v>
      </x:c>
      <x:c r="F9" s="36" t="n">
        <x:f>AVERAGE(D9:E9)</x:f>
        <x:v>750</x:v>
      </x:c>
      <x:c r="G9" s="37" t="n">
        <x:v>1.619349362</x:v>
      </x:c>
      <x:c r="H9" s="35" t="str">
        <x:v>&gt;1–3 mi</x:v>
      </x:c>
      <x:c r="I9" s="35" t="str">
        <x:v>Saved description</x:v>
      </x:c>
      <x:c r="J9" s="35"/>
      <x:c r="K9" s="35" t="str">
        <x:v>No</x:v>
      </x:c>
      <x:c r="L9" s="35"/>
      <x:c r="M9" s="35" t="str">
        <x:v>All utilities, wifi (google fiber) and parking included in the rent.</x:v>
      </x:c>
      <x:c r="N9" s="35" t="str">
        <x:v>Yes</x:v>
      </x:c>
      <x:c r="O9" s="35" t="str">
        <x:v>All utilities, wifi (google fiber) and parking included in the rent.</x:v>
      </x:c>
      <x:c r="P9" s="35" t="str">
        <x:v>Manual review: saved wording explicitly states all utilities are included/inclusive.</x:v>
      </x:c>
      <x:c r="Q9" s="35" t="str">
        <x:v>Yes</x:v>
      </x:c>
      <x:c r="R9" s="35" t="str">
        <x:v>All utilities, wifi (google fiber) and parking included in the rent.</x:v>
      </x:c>
      <x:c r="S9" s="35" t="str">
        <x:v>None</x:v>
      </x:c>
      <x:c r="T9" s="35" t="str">
        <x:v>https://offcampus.dasa.ncsu.edu/housing/property/maisonnc-fully-furnished-minutes-away-from-wolfline-and-shopping/ocpesl9n3p</x:v>
      </x:c>
    </x:row>
    <x:row r="10">
      <x:c r="A10" s="35" t="str">
        <x:v>ocpcm3jede</x:v>
      </x:c>
      <x:c r="B10" s="35" t="str">
        <x:v>maisonNC --- Fully Furnished minutes away from Wolfline and Shopping</x:v>
      </x:c>
      <x:c r="C10" s="35" t="str">
        <x:v>$750</x:v>
      </x:c>
      <x:c r="D10" s="36" t="n">
        <x:v>750</x:v>
      </x:c>
      <x:c r="E10" s="36" t="n">
        <x:v>750</x:v>
      </x:c>
      <x:c r="F10" s="36" t="n">
        <x:f>AVERAGE(D10:E10)</x:f>
        <x:v>750</x:v>
      </x:c>
      <x:c r="G10" s="37" t="n">
        <x:v>1.600371218</x:v>
      </x:c>
      <x:c r="H10" s="35" t="str">
        <x:v>&gt;1–3 mi</x:v>
      </x:c>
      <x:c r="I10" s="35" t="str">
        <x:v>Structured utility fields + saved description</x:v>
      </x:c>
      <x:c r="J10" s="35" t="str">
        <x:v>Electricity; Heat; Water/Sewer</x:v>
      </x:c>
      <x:c r="K10" s="35" t="str">
        <x:v>No</x:v>
      </x:c>
      <x:c r="L10" s="35" t="str">
        <x:v>Cable: Included
Electricity: Included
Heat: Included
High-Speed Internet: Included
Recycling: Included
Water/Sewer: Included</x:v>
      </x:c>
      <x:c r="M10" s="35" t="str">
        <x:v>Rent includes all utilities, wifi and parking.</x:v>
      </x:c>
      <x:c r="N10" s="35" t="str">
        <x:v>Yes</x:v>
      </x:c>
      <x:c r="O10" s="35" t="str">
        <x:v>Rent includes all utilities, wifi and parking.</x:v>
      </x:c>
      <x:c r="P10" s="35" t="str">
        <x:v>Manual review: saved wording explicitly states all utilities are included/inclusive.</x:v>
      </x:c>
      <x:c r="Q10" s="35" t="str">
        <x:v>Yes</x:v>
      </x:c>
      <x:c r="R10" s="35" t="str">
        <x:v>High-Speed Internet: Included | Rent includes all utilities, wifi and parking.</x:v>
      </x:c>
      <x:c r="S10" s="35" t="str">
        <x:v>None</x:v>
      </x:c>
      <x:c r="T10" s="35" t="str">
        <x:v>https://offcampus.dasa.ncsu.edu/housing/property/maisonnc-fully-furnished-minutes-away-from-wolfline-and-shopping/ocpcm3jede</x:v>
      </x:c>
    </x:row>
    <x:row r="11">
      <x:c r="A11" s="35" t="str">
        <x:v>ocpnx5c0kn</x:v>
      </x:c>
      <x:c r="B11" s="35" t="str">
        <x:v>Modern &amp; spacious 3BR/3BA Apartment w/View</x:v>
      </x:c>
      <x:c r="C11" s="35" t="str">
        <x:v>$1,000</x:v>
      </x:c>
      <x:c r="D11" s="36" t="n">
        <x:v>1000</x:v>
      </x:c>
      <x:c r="E11" s="36" t="n">
        <x:v>1000</x:v>
      </x:c>
      <x:c r="F11" s="36" t="n">
        <x:f>AVERAGE(D11:E11)</x:f>
        <x:v>1000</x:v>
      </x:c>
      <x:c r="G11" s="37" t="n">
        <x:v>1.036129373</x:v>
      </x:c>
      <x:c r="H11" s="35" t="str">
        <x:v>&gt;1–3 mi</x:v>
      </x:c>
      <x:c r="I11" s="35" t="str">
        <x:v>Structured utility fields</x:v>
      </x:c>
      <x:c r="J11" s="35" t="str">
        <x:v>Electricity; Gas; Heat; Trash Removal; Water/Sewer</x:v>
      </x:c>
      <x:c r="K11" s="35" t="str">
        <x:v>Yes</x:v>
      </x:c>
      <x:c r="L11" s="35" t="str">
        <x:v>Electricity: Included
Gas: Included
Heat: Included
High-Speed Internet: Included
Trash Removal: Included
Water/Sewer: Included</x:v>
      </x:c>
      <x:c r="M11" s="35"/>
      <x:c r="N11" s="35" t="str">
        <x:v>No</x:v>
      </x:c>
      <x:c r="O11" s="35"/>
      <x:c r="P11" s="35"/>
      <x:c r="Q11" s="35" t="str">
        <x:v>Yes</x:v>
      </x:c>
      <x:c r="R11" s="35" t="str">
        <x:v>High-Speed Internet: Included</x:v>
      </x:c>
      <x:c r="S11" s="35" t="str">
        <x:v>None</x:v>
      </x:c>
      <x:c r="T11" s="35" t="str">
        <x:v>https://offcampus.dasa.ncsu.edu/housing/property/modern-and-spacious-3br-3ba-apartment-w-view/ocpnx5c0kn</x:v>
      </x:c>
    </x:row>
    <x:row r="12">
      <x:c r="A12" s="35" t="str">
        <x:v>ocpjeweyz6</x:v>
      </x:c>
      <x:c r="B12" s="35" t="str">
        <x:v>All Girls Unit - Room with Private Bathroom at  University Woods at Centennial Condominiums</x:v>
      </x:c>
      <x:c r="C12" s="35" t="str">
        <x:v>$645</x:v>
      </x:c>
      <x:c r="D12" s="36" t="n">
        <x:v>645</x:v>
      </x:c>
      <x:c r="E12" s="36" t="n">
        <x:v>645</x:v>
      </x:c>
      <x:c r="F12" s="36" t="n">
        <x:f>AVERAGE(D12:E12)</x:f>
        <x:v>645</x:v>
      </x:c>
      <x:c r="G12" s="37" t="n">
        <x:v>2.188347488</x:v>
      </x:c>
      <x:c r="H12" s="35" t="str">
        <x:v>&gt;1–3 mi</x:v>
      </x:c>
      <x:c r="I12" s="35" t="str">
        <x:v>Structured utility fields + saved description</x:v>
      </x:c>
      <x:c r="J12" s="35" t="str">
        <x:v>Trash Removal</x:v>
      </x:c>
      <x:c r="K12" s="35" t="str">
        <x:v>No</x:v>
      </x:c>
      <x:c r="L12" s="35" t="str">
        <x:v>Recycling: Included
Trash Removal: Included</x:v>
      </x:c>
      <x:c r="M12" s="35" t="str">
        <x:v>Included: sewer, trash
Not included: Water, Internet and Electricity (shared among roommates)</x:v>
      </x:c>
      <x:c r="N12" s="35" t="str">
        <x:v>No</x:v>
      </x:c>
      <x:c r="O12" s="35"/>
      <x:c r="P12" s="35"/>
      <x:c r="Q12" s="35" t="str">
        <x:v>Yes</x:v>
      </x:c>
      <x:c r="R12" s="35" t="str">
        <x:v>Not included: Water, Internet and Electricity (shared among roommates)</x:v>
      </x:c>
      <x:c r="S12" s="35" t="str">
        <x:v>None</x:v>
      </x:c>
      <x:c r="T12" s="35" t="str">
        <x:v>https://offcampus.dasa.ncsu.edu/housing/property/all-girls-unit-room-with-private-bathroom-at-university-woods-at-centennial-condominiums/ocpjeweyz6</x:v>
      </x:c>
    </x:row>
    <x:row r="13">
      <x:c r="A13" s="35" t="str">
        <x:v>0smdl31</x:v>
      </x:c>
      <x:c r="B13" s="35" t="str">
        <x:v>Paloma Raleigh</x:v>
      </x:c>
      <x:c r="C13" s="35" t="str">
        <x:v>$749 - $1,599</x:v>
      </x:c>
      <x:c r="D13" s="36" t="n">
        <x:v>749</x:v>
      </x:c>
      <x:c r="E13" s="36" t="n">
        <x:v>1599</x:v>
      </x:c>
      <x:c r="F13" s="36" t="n">
        <x:f>AVERAGE(D13:E13)</x:f>
        <x:v>1174</x:v>
      </x:c>
      <x:c r="G13" s="37" t="n">
        <x:v>2.624931081</x:v>
      </x:c>
      <x:c r="H13" s="35" t="str">
        <x:v>&gt;1–3 mi</x:v>
      </x:c>
      <x:c r="I13" s="35" t="str">
        <x:v>Structured utility fields</x:v>
      </x:c>
      <x:c r="J13" s="35" t="str">
        <x:v>Gas; Heat; Trash Removal; Water/Sewer</x:v>
      </x:c>
      <x:c r="K13" s="35" t="str">
        <x:v>No</x:v>
      </x:c>
      <x:c r="L13" s="35" t="str">
        <x:v>Air Conditioning: Included
Cable: Included
Gas: Included
Heat: Included
High-Speed Internet: Included
Trash Removal: Included
Water/Sewer: Included</x:v>
      </x:c>
      <x:c r="M13" s="35"/>
      <x:c r="N13" s="35" t="str">
        <x:v>No</x:v>
      </x:c>
      <x:c r="O13" s="35"/>
      <x:c r="P13" s="35"/>
      <x:c r="Q13" s="35" t="str">
        <x:v>Yes</x:v>
      </x:c>
      <x:c r="R13" s="35" t="str">
        <x:v>High-Speed Internet: Included</x:v>
      </x:c>
      <x:c r="S13" s="35" t="str">
        <x:v>Not reported</x:v>
      </x:c>
      <x:c r="T13" s="35" t="str">
        <x:v>https://offcampus.dasa.ncsu.edu/housing/property/paloma-raleigh/0smdl31</x:v>
      </x:c>
    </x:row>
    <x:row r="14">
      <x:c r="A14" s="35" t="str">
        <x:v>ocppjxdd3r</x:v>
      </x:c>
      <x:c r="B14" s="35" t="str">
        <x:v>Collegeview Duplex--Brand New Luxury Housing within walking distance to NCSU</x:v>
      </x:c>
      <x:c r="C14" s="35" t="str">
        <x:v>$900 - $950</x:v>
      </x:c>
      <x:c r="D14" s="36" t="n">
        <x:v>900</x:v>
      </x:c>
      <x:c r="E14" s="36" t="n">
        <x:v>950</x:v>
      </x:c>
      <x:c r="F14" s="36" t="n">
        <x:f>AVERAGE(D14:E14)</x:f>
        <x:v>925</x:v>
      </x:c>
      <x:c r="G14" s="37" t="n">
        <x:v>0.249152533</x:v>
      </x:c>
      <x:c r="H14" s="35" t="str">
        <x:v>0–1 mi</x:v>
      </x:c>
      <x:c r="I14" s="35" t="str">
        <x:v>Structured utility fields</x:v>
      </x:c>
      <x:c r="J14" s="35" t="str">
        <x:v>Trash Removal</x:v>
      </x:c>
      <x:c r="K14" s="35" t="str">
        <x:v>No</x:v>
      </x:c>
      <x:c r="L14" s="35" t="str">
        <x:v>Recycling: Included
Trash Removal: Included</x:v>
      </x:c>
      <x:c r="M14" s="35"/>
      <x:c r="N14" s="35" t="str">
        <x:v>No</x:v>
      </x:c>
      <x:c r="O14" s="35"/>
      <x:c r="P14" s="35"/>
      <x:c r="Q14" s="35" t="str">
        <x:v>No</x:v>
      </x:c>
      <x:c r="R14" s="35"/>
      <x:c r="S14" s="35" t="str">
        <x:v>None</x:v>
      </x:c>
      <x:c r="T14" s="35" t="str">
        <x:v>https://offcampus.dasa.ncsu.edu/housing/property/collegeview-duplex-brand-new-luxury-housing-within-walking-distance-to-ncsu/ocppjxdd3r</x:v>
      </x:c>
    </x:row>
    <x:row r="15">
      <x:c r="A15" s="35" t="str">
        <x:v>ocpe1n95cm</x:v>
      </x:c>
      <x:c r="B15" s="35" t="str">
        <x:v>Big Promotion w/best price ever. Move in Immediately . MarcomTowns. Great location nice</x:v>
      </x:c>
      <x:c r="C15" s="35" t="str">
        <x:v>$950</x:v>
      </x:c>
      <x:c r="D15" s="36" t="n">
        <x:v>950</x:v>
      </x:c>
      <x:c r="E15" s="36" t="n">
        <x:v>950</x:v>
      </x:c>
      <x:c r="F15" s="36" t="n">
        <x:f>AVERAGE(D15:E15)</x:f>
        <x:v>950</x:v>
      </x:c>
      <x:c r="G15" s="37" t="n">
        <x:v>0.243489368</x:v>
      </x:c>
      <x:c r="H15" s="35" t="str">
        <x:v>0–1 mi</x:v>
      </x:c>
      <x:c r="I15" s="35" t="str">
        <x:v>Structured utility fields</x:v>
      </x:c>
      <x:c r="J15" s="35" t="str">
        <x:v>Trash Removal</x:v>
      </x:c>
      <x:c r="K15" s="35" t="str">
        <x:v>No</x:v>
      </x:c>
      <x:c r="L15" s="35" t="str">
        <x:v>Recycling: Included
Trash Removal: Included</x:v>
      </x:c>
      <x:c r="M15" s="35"/>
      <x:c r="N15" s="35" t="str">
        <x:v>No</x:v>
      </x:c>
      <x:c r="O15" s="35"/>
      <x:c r="P15" s="35"/>
      <x:c r="Q15" s="35" t="str">
        <x:v>No</x:v>
      </x:c>
      <x:c r="R15" s="35"/>
      <x:c r="S15" s="35" t="str">
        <x:v>None</x:v>
      </x:c>
      <x:c r="T15" s="35" t="str">
        <x:v>https://offcampus.dasa.ncsu.edu/housing/property/big-promotion-w-best-price-ever-move-in-immediately-marcomtowns-great-location-nice/ocpe1n95cm</x:v>
      </x:c>
    </x:row>
    <x:row r="16">
      <x:c r="A16" s="35" t="str">
        <x:v>ocp2evl6hb</x:v>
      </x:c>
      <x:c r="B16" s="35" t="str">
        <x:v>University Oaks -</x:v>
      </x:c>
      <x:c r="C16" s="35" t="str">
        <x:v>$725</x:v>
      </x:c>
      <x:c r="D16" s="36" t="n">
        <x:v>725</x:v>
      </x:c>
      <x:c r="E16" s="36" t="n">
        <x:v>725</x:v>
      </x:c>
      <x:c r="F16" s="36" t="n">
        <x:f>AVERAGE(D16:E16)</x:f>
        <x:v>725</x:v>
      </x:c>
      <x:c r="G16" s="37" t="n">
        <x:v>0.440031949</x:v>
      </x:c>
      <x:c r="H16" s="35" t="str">
        <x:v>0–1 mi</x:v>
      </x:c>
      <x:c r="I16" s="35" t="str">
        <x:v>Structured utility fields + saved description</x:v>
      </x:c>
      <x:c r="J16" s="35" t="str">
        <x:v>Electricity; Gas; Heat; Trash Removal; Water/Sewer</x:v>
      </x:c>
      <x:c r="K16" s="35" t="str">
        <x:v>Yes</x:v>
      </x:c>
      <x:c r="L16" s="35" t="str">
        <x:v>Electricity: Included
Gas: Included
Heat: Included
High-Speed Internet: Included
Recycling: Included
Trash Removal: Included
Water/Sewer: Included</x:v>
      </x:c>
      <x:c r="M16" s="35" t="str">
        <x:v>Parking, utilities, internet - included.</x:v>
      </x:c>
      <x:c r="N16" s="35" t="str">
        <x:v>No</x:v>
      </x:c>
      <x:c r="O16" s="35"/>
      <x:c r="P16" s="35"/>
      <x:c r="Q16" s="35" t="str">
        <x:v>Yes</x:v>
      </x:c>
      <x:c r="R16" s="35" t="str">
        <x:v>High-Speed Internet: Included | Parking, utilities, internet - included.</x:v>
      </x:c>
      <x:c r="S16" s="35" t="str">
        <x:v>None</x:v>
      </x:c>
      <x:c r="T16" s="35" t="str">
        <x:v>https://offcampus.dasa.ncsu.edu/housing/property/university-oaks/ocp2evl6hb</x:v>
      </x:c>
    </x:row>
    <x:row r="17">
      <x:c r="A17" s="35" t="str">
        <x:v>ocpvlydr3e</x:v>
      </x:c>
      <x:c r="B17" s="35" t="str">
        <x:v>Reavis ---Brand New Luxury Housing within walking distance to NCSU</x:v>
      </x:c>
      <x:c r="C17" s="35" t="str">
        <x:v>$925 - $975</x:v>
      </x:c>
      <x:c r="D17" s="36" t="n">
        <x:v>925</x:v>
      </x:c>
      <x:c r="E17" s="36" t="n">
        <x:v>975</x:v>
      </x:c>
      <x:c r="F17" s="36" t="n">
        <x:f>AVERAGE(D17:E17)</x:f>
        <x:v>950</x:v>
      </x:c>
      <x:c r="G17" s="37" t="n">
        <x:v>0.846079213</x:v>
      </x:c>
      <x:c r="H17" s="35" t="str">
        <x:v>0–1 mi</x:v>
      </x:c>
      <x:c r="I17" s="35" t="str">
        <x:v>Structured utility fields</x:v>
      </x:c>
      <x:c r="J17" s="35" t="str">
        <x:v>Trash Removal</x:v>
      </x:c>
      <x:c r="K17" s="35" t="str">
        <x:v>No</x:v>
      </x:c>
      <x:c r="L17" s="35" t="str">
        <x:v>Recycling: Included
Trash Removal: Included</x:v>
      </x:c>
      <x:c r="M17" s="35"/>
      <x:c r="N17" s="35" t="str">
        <x:v>No</x:v>
      </x:c>
      <x:c r="O17" s="35"/>
      <x:c r="P17" s="35"/>
      <x:c r="Q17" s="35" t="str">
        <x:v>No</x:v>
      </x:c>
      <x:c r="R17" s="35"/>
      <x:c r="S17" s="35" t="str">
        <x:v>None</x:v>
      </x:c>
      <x:c r="T17" s="35" t="str">
        <x:v>https://offcampus.dasa.ncsu.edu/housing/property/reavis-brand-new-luxury-housing-within-walking-distance-to-ncsu/ocpvlydr3e</x:v>
      </x:c>
    </x:row>
    <x:row r="18">
      <x:c r="A18" s="35" t="str">
        <x:v>ocpxdxd79p</x:v>
      </x:c>
      <x:c r="B18" s="35" t="str">
        <x:v>4BR/4BA Condo| On Wolfline | Preleasing 27-28 Special $850 Util/Parking Incld | Mile to Campus</x:v>
      </x:c>
      <x:c r="C18" s="35" t="str">
        <x:v>$875</x:v>
      </x:c>
      <x:c r="D18" s="36" t="n">
        <x:v>875</x:v>
      </x:c>
      <x:c r="E18" s="36" t="n">
        <x:v>875</x:v>
      </x:c>
      <x:c r="F18" s="36" t="n">
        <x:f>AVERAGE(D18:E18)</x:f>
        <x:v>875</x:v>
      </x:c>
      <x:c r="G18" s="37" t="n">
        <x:v>0.655411437</x:v>
      </x:c>
      <x:c r="H18" s="35" t="str">
        <x:v>0–1 mi</x:v>
      </x:c>
      <x:c r="I18" s="35" t="str">
        <x:v>Structured utility fields + saved description</x:v>
      </x:c>
      <x:c r="J18" s="35" t="str">
        <x:v>Electricity; Heat; Trash Removal; Water/Sewer</x:v>
      </x:c>
      <x:c r="K18" s="35" t="str">
        <x:v>No</x:v>
      </x:c>
      <x:c r="L18" s="35" t="str">
        <x:v>Electricity: Included
Heat: Included
High-Speed Internet: Included
Trash Removal: Included
Water/Sewer: Included</x:v>
      </x:c>
      <x:c r="M18" s="35" t="str">
        <x:v>* All utilities included: Electric, water, trash, and unlimited Google Fiber High-Speed Internet</x:v>
      </x:c>
      <x:c r="N18" s="35" t="str">
        <x:v>Yes</x:v>
      </x:c>
      <x:c r="O18" s="35" t="str">
        <x:v>* All utilities included: Electric, water, trash, and unlimited Google Fiber High-Speed Internet</x:v>
      </x:c>
      <x:c r="P18" s="35" t="str">
        <x:v>Manual review: saved wording explicitly states all utilities are included/inclusive.</x:v>
      </x:c>
      <x:c r="Q18" s="35" t="str">
        <x:v>Yes</x:v>
      </x:c>
      <x:c r="R18" s="35" t="str">
        <x:v>High-Speed Internet: Included | * All utilities included: Electric, water, trash, and unlimited Google Fiber High-Speed Internet</x:v>
      </x:c>
      <x:c r="S18" s="35" t="str">
        <x:v>None</x:v>
      </x:c>
      <x:c r="T18" s="35" t="str">
        <x:v>https://offcampus.dasa.ncsu.edu/housing/property/4br-4ba-condo-on-wolfline-preleasing-27-28-special-850-util-parking-incld-mile-to-campus/ocpxdxd79p</x:v>
      </x:c>
    </x:row>
    <x:row r="19">
      <x:c r="A19" s="35" t="str">
        <x:v>ocpm68s5sh</x:v>
      </x:c>
      <x:c r="B19" s="35" t="str">
        <x:v>Burt Drive Townhouses---Brand New Luxury Housing within walking distance to NCSU</x:v>
      </x:c>
      <x:c r="C19" s="35" t="str">
        <x:v>$1,050</x:v>
      </x:c>
      <x:c r="D19" s="36" t="n">
        <x:v>1050</x:v>
      </x:c>
      <x:c r="E19" s="36" t="n">
        <x:v>1050</x:v>
      </x:c>
      <x:c r="F19" s="36" t="n">
        <x:f>AVERAGE(D19:E19)</x:f>
        <x:v>1050</x:v>
      </x:c>
      <x:c r="G19" s="37" t="n">
        <x:v>0.339887457</x:v>
      </x:c>
      <x:c r="H19" s="35" t="str">
        <x:v>0–1 mi</x:v>
      </x:c>
      <x:c r="I19" s="35" t="str">
        <x:v>Structured utility fields</x:v>
      </x:c>
      <x:c r="J19" s="35" t="str">
        <x:v>Trash Removal</x:v>
      </x:c>
      <x:c r="K19" s="35" t="str">
        <x:v>No</x:v>
      </x:c>
      <x:c r="L19" s="35" t="str">
        <x:v>Recycling: Included
Trash Removal: Included</x:v>
      </x:c>
      <x:c r="M19" s="35"/>
      <x:c r="N19" s="35" t="str">
        <x:v>No</x:v>
      </x:c>
      <x:c r="O19" s="35"/>
      <x:c r="P19" s="35"/>
      <x:c r="Q19" s="35" t="str">
        <x:v>No</x:v>
      </x:c>
      <x:c r="R19" s="35"/>
      <x:c r="S19" s="35" t="str">
        <x:v>None</x:v>
      </x:c>
      <x:c r="T19" s="35" t="str">
        <x:v>https://offcampus.dasa.ncsu.edu/housing/property/burt-drive-townhouses-brand-new-luxury-housing-within-walking-distance-to-ncsu/ocpm68s5sh</x:v>
      </x:c>
    </x:row>
    <x:row r="20">
      <x:c r="A20" s="35" t="str">
        <x:v>z8cfdjw</x:v>
      </x:c>
      <x:c r="B20" s="35" t="str">
        <x:v>Campus Crossings Raleigh</x:v>
      </x:c>
      <x:c r="C20" s="35" t="str">
        <x:v>$685 - $870</x:v>
      </x:c>
      <x:c r="D20" s="36" t="n">
        <x:v>685</x:v>
      </x:c>
      <x:c r="E20" s="36" t="n">
        <x:v>870</x:v>
      </x:c>
      <x:c r="F20" s="36" t="n">
        <x:f>AVERAGE(D20:E20)</x:f>
        <x:v>777.5</x:v>
      </x:c>
      <x:c r="G20" s="37" t="n">
        <x:v>2.420198986</x:v>
      </x:c>
      <x:c r="H20" s="35" t="str">
        <x:v>&gt;1–3 mi</x:v>
      </x:c>
      <x:c r="I20" s="35" t="str">
        <x:v>Structured utility fields</x:v>
      </x:c>
      <x:c r="J20" s="35" t="str">
        <x:v>Electricity; Heat; Trash Removal; Water/Sewer</x:v>
      </x:c>
      <x:c r="K20" s="35" t="str">
        <x:v>No</x:v>
      </x:c>
      <x:c r="L20" s="35" t="str">
        <x:v>Air Conditioning: Included
Electricity: Included
Heat: Included
High-Speed Internet: Included
Trash Removal: Included
Water/Sewer: Included</x:v>
      </x:c>
      <x:c r="M20" s="35"/>
      <x:c r="N20" s="35" t="str">
        <x:v>No</x:v>
      </x:c>
      <x:c r="O20" s="35"/>
      <x:c r="P20" s="35"/>
      <x:c r="Q20" s="35" t="str">
        <x:v>Yes</x:v>
      </x:c>
      <x:c r="R20" s="35" t="str">
        <x:v>High-Speed Internet: Included</x:v>
      </x:c>
      <x:c r="S20" s="35" t="str">
        <x:v>Not reported</x:v>
      </x:c>
      <x:c r="T20" s="35" t="str">
        <x:v>https://offcampus.dasa.ncsu.edu/housing/property/campus-crossings-raleigh/z8cfdjw</x:v>
      </x:c>
    </x:row>
    <x:row r="21">
      <x:c r="A21" s="35" t="str">
        <x:v>ocp6mp93ms</x:v>
      </x:c>
      <x:c r="B21" s="35" t="str">
        <x:v>Newly Renovated - All Girls Unit Room with Private Bathroom</x:v>
      </x:c>
      <x:c r="C21" s="35" t="str">
        <x:v>$645</x:v>
      </x:c>
      <x:c r="D21" s="36" t="n">
        <x:v>645</x:v>
      </x:c>
      <x:c r="E21" s="36" t="n">
        <x:v>645</x:v>
      </x:c>
      <x:c r="F21" s="36" t="n">
        <x:f>AVERAGE(D21:E21)</x:f>
        <x:v>645</x:v>
      </x:c>
      <x:c r="G21" s="37" t="n">
        <x:v>2.193838767</x:v>
      </x:c>
      <x:c r="H21" s="35" t="str">
        <x:v>&gt;1–3 mi</x:v>
      </x:c>
      <x:c r="I21" s="35" t="str">
        <x:v>Saved description</x:v>
      </x:c>
      <x:c r="J21" s="35"/>
      <x:c r="K21" s="35" t="str">
        <x:v>No</x:v>
      </x:c>
      <x:c r="L21" s="35"/>
      <x:c r="M21" s="35" t="str">
        <x:v>Included: sewer, trash
Not included: Water, Internet and Electricity (shared among roommates)</x:v>
      </x:c>
      <x:c r="N21" s="35" t="str">
        <x:v>No</x:v>
      </x:c>
      <x:c r="O21" s="35"/>
      <x:c r="P21" s="35"/>
      <x:c r="Q21" s="35" t="str">
        <x:v>Yes</x:v>
      </x:c>
      <x:c r="R21" s="35" t="str">
        <x:v>Not included: Water, Internet and Electricity (shared among roommates)</x:v>
      </x:c>
      <x:c r="S21" s="35" t="str">
        <x:v>Not reported</x:v>
      </x:c>
      <x:c r="T21" s="35" t="str">
        <x:v>https://offcampus.dasa.ncsu.edu/housing/property/newly-renovated-all-girls-unit-room-with-private-bathroom/ocp6mp93ms</x:v>
      </x:c>
    </x:row>
    <x:row r="22">
      <x:c r="A22" s="35" t="str">
        <x:v>5x5ph7m</x:v>
      </x:c>
      <x:c r="B22" s="35" t="str">
        <x:v>Redpoint Raleigh</x:v>
      </x:c>
      <x:c r="C22" s="35" t="str">
        <x:v>$899 - $995</x:v>
      </x:c>
      <x:c r="D22" s="36" t="n">
        <x:v>899</x:v>
      </x:c>
      <x:c r="E22" s="36" t="n">
        <x:v>995</x:v>
      </x:c>
      <x:c r="F22" s="36" t="n">
        <x:f>AVERAGE(D22:E22)</x:f>
        <x:v>947</x:v>
      </x:c>
      <x:c r="G22" s="37" t="n">
        <x:v>2.69627335</x:v>
      </x:c>
      <x:c r="H22" s="35" t="str">
        <x:v>&gt;1–3 mi</x:v>
      </x:c>
      <x:c r="I22" s="35" t="str">
        <x:v>Structured utility fields</x:v>
      </x:c>
      <x:c r="J22" s="35" t="str">
        <x:v>Gas; Heat; Trash Removal; Water/Sewer</x:v>
      </x:c>
      <x:c r="K22" s="35" t="str">
        <x:v>No</x:v>
      </x:c>
      <x:c r="L22" s="35" t="str">
        <x:v>Air Conditioning: Included
Gas: Included
Heat: Included
High-Speed Internet: Included
Trash Removal: Included
Water/Sewer: Included</x:v>
      </x:c>
      <x:c r="M22" s="35"/>
      <x:c r="N22" s="35" t="str">
        <x:v>No</x:v>
      </x:c>
      <x:c r="O22" s="35"/>
      <x:c r="P22" s="35"/>
      <x:c r="Q22" s="35" t="str">
        <x:v>Yes</x:v>
      </x:c>
      <x:c r="R22" s="35" t="str">
        <x:v>High-Speed Internet: Included</x:v>
      </x:c>
      <x:c r="S22" s="35" t="str">
        <x:v>Not reported</x:v>
      </x:c>
      <x:c r="T22" s="35" t="str">
        <x:v>https://offcampus.dasa.ncsu.edu/housing/property/redpoint-raleigh/5x5ph7m</x:v>
      </x:c>
    </x:row>
    <x:row r="23">
      <x:c r="A23" s="35" t="str">
        <x:v>jjs8f07</x:v>
      </x:c>
      <x:c r="B23" s="35" t="str">
        <x:v>Village Green Student Housing</x:v>
      </x:c>
      <x:c r="C23" s="35" t="str">
        <x:v>$649 - $839</x:v>
      </x:c>
      <x:c r="D23" s="36" t="n">
        <x:v>649</x:v>
      </x:c>
      <x:c r="E23" s="36" t="n">
        <x:v>839</x:v>
      </x:c>
      <x:c r="F23" s="36" t="n">
        <x:f>AVERAGE(D23:E23)</x:f>
        <x:v>744</x:v>
      </x:c>
      <x:c r="G23" s="37" t="n">
        <x:v>1.932509975</x:v>
      </x:c>
      <x:c r="H23" s="35" t="str">
        <x:v>&gt;1–3 mi</x:v>
      </x:c>
      <x:c r="I23" s="35" t="str">
        <x:v>Structured utility fields</x:v>
      </x:c>
      <x:c r="J23" s="35" t="str">
        <x:v>Electricity; Gas; Heat; Trash Removal; Water/Sewer</x:v>
      </x:c>
      <x:c r="K23" s="35" t="str">
        <x:v>Yes</x:v>
      </x:c>
      <x:c r="L23" s="35" t="str">
        <x:v>Air Conditioning: Included
Electricity: Included
Gas: Included
Heat: Included
High-Speed Internet: Included
Trash Removal: Included
Water/Sewer: Included</x:v>
      </x:c>
      <x:c r="M23" s="35"/>
      <x:c r="N23" s="35" t="str">
        <x:v>No</x:v>
      </x:c>
      <x:c r="O23" s="35"/>
      <x:c r="P23" s="35"/>
      <x:c r="Q23" s="35" t="str">
        <x:v>Yes</x:v>
      </x:c>
      <x:c r="R23" s="35" t="str">
        <x:v>High-Speed Internet: Included</x:v>
      </x:c>
      <x:c r="S23" s="35" t="str">
        <x:v>Not reported</x:v>
      </x:c>
      <x:c r="T23" s="35" t="str">
        <x:v>https://offcampus.dasa.ncsu.edu/housing/property/village-green-student-housing/jjs8f07</x:v>
      </x:c>
    </x:row>
    <x:row r="24">
      <x:c r="A24" s="35" t="str">
        <x:v>ocpbhbkvy9</x:v>
      </x:c>
      <x:c r="B24" s="35" t="str">
        <x:v>Voyager House</x:v>
      </x:c>
      <x:c r="C24" s="35" t="str">
        <x:v>$800</x:v>
      </x:c>
      <x:c r="D24" s="36" t="n">
        <x:v>800</x:v>
      </x:c>
      <x:c r="E24" s="36" t="n">
        <x:v>800</x:v>
      </x:c>
      <x:c r="F24" s="36" t="n">
        <x:f>AVERAGE(D24:E24)</x:f>
        <x:v>800</x:v>
      </x:c>
      <x:c r="G24" s="37" t="n">
        <x:v>1.884049975</x:v>
      </x:c>
      <x:c r="H24" s="35" t="str">
        <x:v>&gt;1–3 mi</x:v>
      </x:c>
      <x:c r="I24" s="35" t="str">
        <x:v>Structured utility fields</x:v>
      </x:c>
      <x:c r="J24" s="35" t="str">
        <x:v>Electricity; Gas; Heat; Trash Removal; Water/Sewer</x:v>
      </x:c>
      <x:c r="K24" s="35" t="str">
        <x:v>Yes</x:v>
      </x:c>
      <x:c r="L24" s="35" t="str">
        <x:v>Electricity: Included
Gas: Included
Heat: Included
High-Speed Internet: Included
Recycling: Included
Trash Removal: Included
Water/Sewer: Included</x:v>
      </x:c>
      <x:c r="M24" s="35"/>
      <x:c r="N24" s="35" t="str">
        <x:v>No</x:v>
      </x:c>
      <x:c r="O24" s="35"/>
      <x:c r="P24" s="35"/>
      <x:c r="Q24" s="35" t="str">
        <x:v>Yes</x:v>
      </x:c>
      <x:c r="R24" s="35" t="str">
        <x:v>High-Speed Internet: Included</x:v>
      </x:c>
      <x:c r="S24" s="35" t="str">
        <x:v>None</x:v>
      </x:c>
      <x:c r="T24" s="35" t="str">
        <x:v>https://offcampus.dasa.ncsu.edu/housing/property/voyager-house/ocpbhbkvy9</x:v>
      </x:c>
    </x:row>
    <x:row r="25">
      <x:c r="A25" s="35" t="str">
        <x:v>e13mz5m</x:v>
      </x:c>
      <x:c r="B25" s="35" t="str">
        <x:v>University Suites Student Housing</x:v>
      </x:c>
      <x:c r="C25" s="35" t="str">
        <x:v>$699 - $799</x:v>
      </x:c>
      <x:c r="D25" s="36" t="n">
        <x:v>699</x:v>
      </x:c>
      <x:c r="E25" s="36" t="n">
        <x:v>799</x:v>
      </x:c>
      <x:c r="F25" s="36" t="n">
        <x:f>AVERAGE(D25:E25)</x:f>
        <x:v>749</x:v>
      </x:c>
      <x:c r="G25" s="37" t="n">
        <x:v>2.29213488</x:v>
      </x:c>
      <x:c r="H25" s="35" t="str">
        <x:v>&gt;1–3 mi</x:v>
      </x:c>
      <x:c r="I25" s="35" t="str">
        <x:v>Structured utility fields</x:v>
      </x:c>
      <x:c r="J25" s="35" t="str">
        <x:v>Electricity; Trash Removal; Water/Sewer</x:v>
      </x:c>
      <x:c r="K25" s="35" t="str">
        <x:v>No</x:v>
      </x:c>
      <x:c r="L25" s="35" t="str">
        <x:v>Electricity: Included
High-Speed Internet: Included
Trash Removal: Included
Water/Sewer: Included</x:v>
      </x:c>
      <x:c r="M25" s="35"/>
      <x:c r="N25" s="35" t="str">
        <x:v>No</x:v>
      </x:c>
      <x:c r="O25" s="35"/>
      <x:c r="P25" s="35"/>
      <x:c r="Q25" s="35" t="str">
        <x:v>Yes</x:v>
      </x:c>
      <x:c r="R25" s="35" t="str">
        <x:v>High-Speed Internet: Included</x:v>
      </x:c>
      <x:c r="S25" s="35" t="str">
        <x:v>Not reported</x:v>
      </x:c>
      <x:c r="T25" s="35" t="str">
        <x:v>https://offcampus.dasa.ncsu.edu/housing/property/university-suites-student-housing/e13mz5m</x:v>
      </x:c>
    </x:row>
    <x:row r="26">
      <x:c r="A26" s="35" t="str">
        <x:v>ocpepvxvln</x:v>
      </x:c>
      <x:c r="B26" s="35" t="str">
        <x:v>Village Green Student Living</x:v>
      </x:c>
      <x:c r="C26" s="35" t="str">
        <x:v>$831</x:v>
      </x:c>
      <x:c r="D26" s="36" t="n">
        <x:v>831</x:v>
      </x:c>
      <x:c r="E26" s="36" t="n">
        <x:v>831</x:v>
      </x:c>
      <x:c r="F26" s="36" t="n">
        <x:f>AVERAGE(D26:E26)</x:f>
        <x:v>831</x:v>
      </x:c>
      <x:c r="G26" s="37" t="n">
        <x:v>1.815869405</x:v>
      </x:c>
      <x:c r="H26" s="35" t="str">
        <x:v>&gt;1–3 mi</x:v>
      </x:c>
      <x:c r="I26" s="35" t="str">
        <x:v>Saved description</x:v>
      </x:c>
      <x:c r="J26" s="35"/>
      <x:c r="K26" s="35" t="str">
        <x:v>No</x:v>
      </x:c>
      <x:c r="L26" s="35"/>
      <x:c r="M26" s="35" t="str">
        <x:v>The price of parking and all utilities are included in the base rent fee of ~$831/month.</x:v>
      </x:c>
      <x:c r="N26" s="35" t="str">
        <x:v>Yes</x:v>
      </x:c>
      <x:c r="O26" s="35" t="str">
        <x:v>The price of parking and all utilities are included in the base rent fee of ~$831/month.</x:v>
      </x:c>
      <x:c r="P26" s="35" t="str">
        <x:v>Manual review: saved wording explicitly states all utilities are included/inclusive.</x:v>
      </x:c>
      <x:c r="Q26" s="35" t="str">
        <x:v>No</x:v>
      </x:c>
      <x:c r="R26" s="35"/>
      <x:c r="S26" s="35" t="str">
        <x:v>None</x:v>
      </x:c>
      <x:c r="T26" s="35" t="str">
        <x:v>https://offcampus.dasa.ncsu.edu/housing/property/village-green-student-living/ocpepvxvln</x:v>
      </x:c>
    </x:row>
    <x:row r="27">
      <x:c r="A27" s="35" t="str">
        <x:v>ocpgxr290w</x:v>
      </x:c>
      <x:c r="B27" s="35" t="str">
        <x:v>Spacious Forest Park Two-Room Suite + Private Bath - Walk to Campus (Includes Utilities)</x:v>
      </x:c>
      <x:c r="C27" s="35" t="str">
        <x:v>$1,225</x:v>
      </x:c>
      <x:c r="D27" s="36" t="n">
        <x:v>1225</x:v>
      </x:c>
      <x:c r="E27" s="36" t="n">
        <x:v>1225</x:v>
      </x:c>
      <x:c r="F27" s="36" t="n">
        <x:f>AVERAGE(D27:E27)</x:f>
        <x:v>1225</x:v>
      </x:c>
      <x:c r="G27" s="37" t="n">
        <x:v>1.604060636</x:v>
      </x:c>
      <x:c r="H27" s="35" t="str">
        <x:v>&gt;1–3 mi</x:v>
      </x:c>
      <x:c r="I27" s="35" t="str">
        <x:v>Saved listing title</x:v>
      </x:c>
      <x:c r="J27" s="35"/>
      <x:c r="K27" s="35" t="str">
        <x:v>No</x:v>
      </x:c>
      <x:c r="L27" s="35"/>
      <x:c r="M27" s="35" t="str">
        <x:v>Spacious Forest Park Two-Room Suite + Private Bath - Walk to Campus (Includes Utilities)</x:v>
      </x:c>
      <x:c r="N27" s="35" t="str">
        <x:v>No</x:v>
      </x:c>
      <x:c r="O27" s="35"/>
      <x:c r="P27" s="35"/>
      <x:c r="Q27" s="35" t="str">
        <x:v>No</x:v>
      </x:c>
      <x:c r="R27" s="35"/>
      <x:c r="S27" s="35" t="str">
        <x:v>None</x:v>
      </x:c>
      <x:c r="T27" s="35" t="str">
        <x:v>https://offcampus.dasa.ncsu.edu/housing/property/spacious-forest-park-two-room-suite-private-bath-walk-to-campus-includes-utilities/ocpgxr290w</x:v>
      </x:c>
    </x:row>
    <x:row r="28">
      <x:c r="A28" s="35" t="str">
        <x:v>ocpsd8dpj6</x:v>
      </x:c>
      <x:c r="B28" s="35" t="str">
        <x:v>Spacious En-suite with private patio and garage parking in Crescent Ridge Townhome Community</x:v>
      </x:c>
      <x:c r="C28" s="35" t="str">
        <x:v>$900</x:v>
      </x:c>
      <x:c r="D28" s="36" t="n">
        <x:v>900</x:v>
      </x:c>
      <x:c r="E28" s="36" t="n">
        <x:v>900</x:v>
      </x:c>
      <x:c r="F28" s="36" t="n">
        <x:f>AVERAGE(D28:E28)</x:f>
        <x:v>900</x:v>
      </x:c>
      <x:c r="G28" s="37" t="n">
        <x:v>2.725369678</x:v>
      </x:c>
      <x:c r="H28" s="35" t="str">
        <x:v>&gt;1–3 mi</x:v>
      </x:c>
      <x:c r="I28" s="35" t="str">
        <x:v>Structured utility fields + saved description</x:v>
      </x:c>
      <x:c r="J28" s="35" t="str">
        <x:v>Electricity; Gas; Heat; Trash Removal; Water/Sewer</x:v>
      </x:c>
      <x:c r="K28" s="35" t="str">
        <x:v>Yes</x:v>
      </x:c>
      <x:c r="L28" s="35" t="str">
        <x:v>Electricity: Included
Gas: Included
Heat: Included
High-Speed Internet: Included
Recycling: Included
Trash Removal: Included
Water/Sewer: Included</x:v>
      </x:c>
      <x:c r="M28" s="35" t="str">
        <x:v>Internet and utilities are included as well as garage parking and access to the neighborhood pool.</x:v>
      </x:c>
      <x:c r="N28" s="35" t="str">
        <x:v>No</x:v>
      </x:c>
      <x:c r="O28" s="35"/>
      <x:c r="P28" s="35"/>
      <x:c r="Q28" s="35" t="str">
        <x:v>Yes</x:v>
      </x:c>
      <x:c r="R28" s="35" t="str">
        <x:v>High-Speed Internet: Included | Internet and utilities are included as well as garage parking and access to the neighborhood pool.</x:v>
      </x:c>
      <x:c r="S28" s="35" t="str">
        <x:v>None</x:v>
      </x:c>
      <x:c r="T28" s="35" t="str">
        <x:v>https://offcampus.dasa.ncsu.edu/housing/property/spacious-en-suite-with-private-patio-and-garage-parking-in-crescent-ridge-townhome-community/ocpsd8dpj6</x:v>
      </x:c>
    </x:row>
    <x:row r="29">
      <x:c r="A29" s="35" t="str">
        <x:v>ocp2gxtxqc</x:v>
      </x:c>
      <x:c r="B29" s="35" t="str">
        <x:v>The Station</x:v>
      </x:c>
      <x:c r="C29" s="35" t="str">
        <x:v>$969</x:v>
      </x:c>
      <x:c r="D29" s="36" t="n">
        <x:v>969</x:v>
      </x:c>
      <x:c r="E29" s="36" t="n">
        <x:v>969</x:v>
      </x:c>
      <x:c r="F29" s="36" t="n">
        <x:f>AVERAGE(D29:E29)</x:f>
        <x:v>969</x:v>
      </x:c>
      <x:c r="G29" s="37" t="n">
        <x:v>2.152909218</x:v>
      </x:c>
      <x:c r="H29" s="35" t="str">
        <x:v>&gt;1–3 mi</x:v>
      </x:c>
      <x:c r="I29" s="35" t="str">
        <x:v>Saved description</x:v>
      </x:c>
      <x:c r="J29" s="35"/>
      <x:c r="K29" s="35" t="str">
        <x:v>No</x:v>
      </x:c>
      <x:c r="L29" s="35"/>
      <x:c r="M29" s="35" t="str">
        <x:v>The unit includes in-unit laundry, parking, and utilities are included, making it super convenient and hassle-free.</x:v>
      </x:c>
      <x:c r="N29" s="35" t="str">
        <x:v>No</x:v>
      </x:c>
      <x:c r="O29" s="35"/>
      <x:c r="P29" s="35"/>
      <x:c r="Q29" s="35" t="str">
        <x:v>No</x:v>
      </x:c>
      <x:c r="R29" s="35"/>
      <x:c r="S29" s="35" t="str">
        <x:v>None</x:v>
      </x:c>
      <x:c r="T29" s="35" t="str">
        <x:v>https://offcampus.dasa.ncsu.edu/housing/property/the-station/ocp2gxtxqc</x:v>
      </x:c>
    </x:row>
    <x:row r="30">
      <x:c r="A30" s="35" t="str">
        <x:v>ocppbmmgnt</x:v>
      </x:c>
      <x:c r="B30" s="35" t="str">
        <x:v>5 bedroom townhome available near NC State</x:v>
      </x:c>
      <x:c r="C30" s="35" t="str">
        <x:v>$650</x:v>
      </x:c>
      <x:c r="D30" s="36" t="n">
        <x:v>650</x:v>
      </x:c>
      <x:c r="E30" s="36" t="n">
        <x:v>650</x:v>
      </x:c>
      <x:c r="F30" s="36" t="n">
        <x:f>AVERAGE(D30:E30)</x:f>
        <x:v>650</x:v>
      </x:c>
      <x:c r="G30" s="37" t="n">
        <x:v>2.375235559</x:v>
      </x:c>
      <x:c r="H30" s="35" t="str">
        <x:v>&gt;1–3 mi</x:v>
      </x:c>
      <x:c r="I30" s="35" t="str">
        <x:v>Structured utility fields</x:v>
      </x:c>
      <x:c r="J30" s="35" t="str">
        <x:v>Trash Removal</x:v>
      </x:c>
      <x:c r="K30" s="35" t="str">
        <x:v>No</x:v>
      </x:c>
      <x:c r="L30" s="35" t="str">
        <x:v>Recycling: Included
Trash Removal: Included</x:v>
      </x:c>
      <x:c r="M30" s="35"/>
      <x:c r="N30" s="35" t="str">
        <x:v>No</x:v>
      </x:c>
      <x:c r="O30" s="35"/>
      <x:c r="P30" s="35"/>
      <x:c r="Q30" s="35" t="str">
        <x:v>No</x:v>
      </x:c>
      <x:c r="R30" s="35"/>
      <x:c r="S30" s="35" t="str">
        <x:v>None</x:v>
      </x:c>
      <x:c r="T30" s="35" t="str">
        <x:v>https://offcampus.dasa.ncsu.edu/housing/property/5-bedroom-townhome-available-near-nc-state/ocppbmmgnt</x:v>
      </x:c>
    </x:row>
    <x:row r="31">
      <x:c r="A31" s="35" t="str">
        <x:v>ocpx51p4tm</x:v>
      </x:c>
      <x:c r="B31" s="35" t="str">
        <x:v>Condo near NCSU</x:v>
      </x:c>
      <x:c r="C31" s="35" t="str">
        <x:v>$800</x:v>
      </x:c>
      <x:c r="D31" s="36" t="n">
        <x:v>800</x:v>
      </x:c>
      <x:c r="E31" s="36" t="n">
        <x:v>800</x:v>
      </x:c>
      <x:c r="F31" s="36" t="n">
        <x:f>AVERAGE(D31:E31)</x:f>
        <x:v>800</x:v>
      </x:c>
      <x:c r="G31" s="37" t="n">
        <x:v>1.625432361</x:v>
      </x:c>
      <x:c r="H31" s="35" t="str">
        <x:v>&gt;1–3 mi</x:v>
      </x:c>
      <x:c r="I31" s="35" t="str">
        <x:v>Saved description</x:v>
      </x:c>
      <x:c r="J31" s="35"/>
      <x:c r="K31" s="35" t="str">
        <x:v>No</x:v>
      </x:c>
      <x:c r="L31" s="35"/>
      <x:c r="M31" s="35" t="str">
        <x:v>All utilities (wifi, electricity, water) are included.</x:v>
      </x:c>
      <x:c r="N31" s="35" t="str">
        <x:v>No</x:v>
      </x:c>
      <x:c r="O31" s="35"/>
      <x:c r="P31" s="35"/>
      <x:c r="Q31" s="35" t="str">
        <x:v>Yes</x:v>
      </x:c>
      <x:c r="R31" s="35" t="str">
        <x:v>All utilities (wifi, electricity, water) are included.</x:v>
      </x:c>
      <x:c r="S31" s="35" t="str">
        <x:v>None</x:v>
      </x:c>
      <x:c r="T31" s="35" t="str">
        <x:v>https://offcampus.dasa.ncsu.edu/housing/property/condo-near-ncsu/ocpx51p4tm</x:v>
      </x:c>
    </x:row>
    <x:row r="32">
      <x:c r="A32" s="35" t="str">
        <x:v>ocphdtdgk2</x:v>
      </x:c>
      <x:c r="B32" s="35" t="str">
        <x:v>105 Friendly Drive! Furnished Room Rentals with Utilities!</x:v>
      </x:c>
      <x:c r="C32" s="35" t="str">
        <x:v>$775 - $1,050</x:v>
      </x:c>
      <x:c r="D32" s="36" t="n">
        <x:v>775</x:v>
      </x:c>
      <x:c r="E32" s="36" t="n">
        <x:v>1050</x:v>
      </x:c>
      <x:c r="F32" s="36" t="n">
        <x:f>AVERAGE(D32:E32)</x:f>
        <x:v>912.5</x:v>
      </x:c>
      <x:c r="G32" s="37" t="n">
        <x:v>0.734302196</x:v>
      </x:c>
      <x:c r="H32" s="35" t="str">
        <x:v>0–1 mi</x:v>
      </x:c>
      <x:c r="I32" s="35" t="str">
        <x:v>Structured utility fields + saved description</x:v>
      </x:c>
      <x:c r="J32" s="35" t="str">
        <x:v>Electricity; Heat; Trash Removal; Water/Sewer</x:v>
      </x:c>
      <x:c r="K32" s="35" t="str">
        <x:v>No</x:v>
      </x:c>
      <x:c r="L32" s="35" t="str">
        <x:v>Cable: Included
Electricity: Included
Heat: Included
High-Speed Internet: Included
Trash Removal: Included
Water/Sewer: Included</x:v>
      </x:c>
      <x:c r="M32" s="35" t="str">
        <x:v>High-Speed Internet &amp; Utilities INCLUDED – Stay connected and stress-free.</x:v>
      </x:c>
      <x:c r="N32" s="35" t="str">
        <x:v>No</x:v>
      </x:c>
      <x:c r="O32" s="35"/>
      <x:c r="P32" s="35"/>
      <x:c r="Q32" s="35" t="str">
        <x:v>Yes</x:v>
      </x:c>
      <x:c r="R32" s="35" t="str">
        <x:v>High-Speed Internet: Included | High-Speed Internet &amp; Utilities INCLUDED – Stay connected and stress-free.</x:v>
      </x:c>
      <x:c r="S32" s="35" t="str">
        <x:v>$10</x:v>
      </x:c>
      <x:c r="T32" s="35" t="str">
        <x:v>https://offcampus.dasa.ncsu.edu/housing/property/105-friendly-drive-furnished-room-rentals-with-utilities/ocphdtdgk2</x:v>
      </x:c>
    </x:row>
    <x:row r="33">
      <x:c r="A33" s="35" t="str">
        <x:v>ocp4lh373j</x:v>
      </x:c>
      <x:c r="B33" s="35" t="str">
        <x:v>Hub Raleigh – 4x2 Lease Takeover, Available Now</x:v>
      </x:c>
      <x:c r="C33" s="35" t="str">
        <x:v>$1,199</x:v>
      </x:c>
      <x:c r="D33" s="36" t="n">
        <x:v>1199</x:v>
      </x:c>
      <x:c r="E33" s="36" t="n">
        <x:v>1199</x:v>
      </x:c>
      <x:c r="F33" s="36" t="n">
        <x:f>AVERAGE(D33:E33)</x:f>
        <x:v>1199</x:v>
      </x:c>
      <x:c r="G33" s="37" t="n">
        <x:v>1.249575868</x:v>
      </x:c>
      <x:c r="H33" s="35" t="str">
        <x:v>&gt;1–3 mi</x:v>
      </x:c>
      <x:c r="I33" s="35" t="str">
        <x:v>Saved description</x:v>
      </x:c>
      <x:c r="J33" s="35"/>
      <x:c r="K33" s="35" t="str">
        <x:v>No</x:v>
      </x:c>
      <x:c r="L33" s="35"/>
      <x:c r="M33" s="35" t="str">
        <x:v>This is a 4 bedroom / 2 bathroom furnished unit with utilities included in rent ($1,199/month); parking is available separately if needed.</x:v>
      </x:c>
      <x:c r="N33" s="35" t="str">
        <x:v>No</x:v>
      </x:c>
      <x:c r="O33" s="35"/>
      <x:c r="P33" s="35"/>
      <x:c r="Q33" s="35" t="str">
        <x:v>No</x:v>
      </x:c>
      <x:c r="R33" s="35"/>
      <x:c r="S33" s="35" t="str">
        <x:v>None</x:v>
      </x:c>
      <x:c r="T33" s="35" t="str">
        <x:v>https://offcampus.dasa.ncsu.edu/housing/property/hub-raleigh-4x2-lease-takeover-available-now/ocp4lh373j</x:v>
      </x:c>
    </x:row>
    <x:row r="34">
      <x:c r="A34" s="35" t="str">
        <x:v>se736e5</x:v>
      </x:c>
      <x:c r="B34" s="35" t="str">
        <x:v>College Inn</x:v>
      </x:c>
      <x:c r="C34" s="35" t="str">
        <x:v>$859 - $1,275</x:v>
      </x:c>
      <x:c r="D34" s="36" t="n">
        <x:v>859</x:v>
      </x:c>
      <x:c r="E34" s="36" t="n">
        <x:v>1275</x:v>
      </x:c>
      <x:c r="F34" s="36" t="n">
        <x:f>AVERAGE(D34:E34)</x:f>
        <x:v>1067</x:v>
      </x:c>
      <x:c r="G34" s="37" t="n">
        <x:v>0.246460777</x:v>
      </x:c>
      <x:c r="H34" s="35" t="str">
        <x:v>0–1 mi</x:v>
      </x:c>
      <x:c r="I34" s="35" t="str">
        <x:v>Structured utility fields</x:v>
      </x:c>
      <x:c r="J34" s="35" t="str">
        <x:v>Electricity; Gas; Heat; Water/Sewer</x:v>
      </x:c>
      <x:c r="K34" s="35" t="str">
        <x:v>No</x:v>
      </x:c>
      <x:c r="L34" s="35" t="str">
        <x:v>Electricity: Included
Gas: Included
Heat: Included
High-Speed Internet: Included
Water/Sewer: Included</x:v>
      </x:c>
      <x:c r="M34" s="35"/>
      <x:c r="N34" s="35" t="str">
        <x:v>No</x:v>
      </x:c>
      <x:c r="O34" s="35"/>
      <x:c r="P34" s="35"/>
      <x:c r="Q34" s="35" t="str">
        <x:v>Yes</x:v>
      </x:c>
      <x:c r="R34" s="35" t="str">
        <x:v>High-Speed Internet: Included</x:v>
      </x:c>
      <x:c r="S34" s="35" t="str">
        <x:v>Not reported</x:v>
      </x:c>
      <x:c r="T34" s="35" t="str">
        <x:v>https://offcampus.dasa.ncsu.edu/housing/property/college-inn/se736e5</x:v>
      </x:c>
    </x:row>
    <x:row r="35">
      <x:c r="A35" s="35" t="str">
        <x:v>ocp0gblz91</x:v>
      </x:c>
      <x:c r="B35" s="35" t="str">
        <x:v>Great value in beautiful SW Raleigh</x:v>
      </x:c>
      <x:c r="C35" s="35" t="str">
        <x:v>$850</x:v>
      </x:c>
      <x:c r="D35" s="36" t="n">
        <x:v>850</x:v>
      </x:c>
      <x:c r="E35" s="36" t="n">
        <x:v>850</x:v>
      </x:c>
      <x:c r="F35" s="36" t="n">
        <x:f>AVERAGE(D35:E35)</x:f>
        <x:v>850</x:v>
      </x:c>
      <x:c r="G35" s="37" t="n">
        <x:v>3.494769248</x:v>
      </x:c>
      <x:c r="H35" s="35" t="str">
        <x:v>&gt;3–5 mi</x:v>
      </x:c>
      <x:c r="I35" s="35" t="str">
        <x:v>Saved description</x:v>
      </x:c>
      <x:c r="J35" s="35"/>
      <x:c r="K35" s="35" t="str">
        <x:v>No</x:v>
      </x:c>
      <x:c r="L35" s="35"/>
      <x:c r="M35" s="35" t="str">
        <x:v>ALL utilities included (i.e., high speed internet, electricity/gas, water, etc.).</x:v>
      </x:c>
      <x:c r="N35" s="35" t="str">
        <x:v>Yes</x:v>
      </x:c>
      <x:c r="O35" s="35" t="str">
        <x:v>ALL utilities included (i.e., high speed internet, electricity/gas, water, etc.).</x:v>
      </x:c>
      <x:c r="P35" s="35" t="str">
        <x:v>Manual review: saved wording explicitly states all utilities are included/inclusive.</x:v>
      </x:c>
      <x:c r="Q35" s="35" t="str">
        <x:v>Yes</x:v>
      </x:c>
      <x:c r="R35" s="35" t="str">
        <x:v>ALL utilities included (i.e., high speed internet, electricity/gas, water, etc.).</x:v>
      </x:c>
      <x:c r="S35" s="35" t="str">
        <x:v>None</x:v>
      </x:c>
      <x:c r="T35" s="35" t="str">
        <x:v>https://offcampus.dasa.ncsu.edu/housing/property/great-value-in-beautiful-sw-raleigh/ocp0gblz91</x:v>
      </x:c>
    </x:row>
    <x:row r="36">
      <x:c r="A36" s="35" t="str">
        <x:v>ocpteqgjg8</x:v>
      </x:c>
      <x:c r="B36" s="35" t="str">
        <x:v>Huge modern studio suite- private entrance and beth- near NCSU</x:v>
      </x:c>
      <x:c r="C36" s="35" t="str">
        <x:v>$1,150</x:v>
      </x:c>
      <x:c r="D36" s="36" t="n">
        <x:v>1150</x:v>
      </x:c>
      <x:c r="E36" s="36" t="n">
        <x:v>1150</x:v>
      </x:c>
      <x:c r="F36" s="36" t="n">
        <x:f>AVERAGE(D36:E36)</x:f>
        <x:v>1150</x:v>
      </x:c>
      <x:c r="G36" s="37" t="n">
        <x:v>2.969896437</x:v>
      </x:c>
      <x:c r="H36" s="35" t="str">
        <x:v>&gt;1–3 mi</x:v>
      </x:c>
      <x:c r="I36" s="35" t="str">
        <x:v>Saved description</x:v>
      </x:c>
      <x:c r="J36" s="35"/>
      <x:c r="K36" s="35" t="str">
        <x:v>No</x:v>
      </x:c>
      <x:c r="L36" s="35"/>
      <x:c r="M36" s="35" t="str">
        <x:v>Stress-Free Living: Rent includes electricity, water, gas, trash, and ultra-high-speed Wi-Fi (capped at reasonable monthly usage).</x:v>
      </x:c>
      <x:c r="N36" s="35" t="str">
        <x:v>No</x:v>
      </x:c>
      <x:c r="O36" s="35"/>
      <x:c r="P36" s="35"/>
      <x:c r="Q36" s="35" t="str">
        <x:v>Yes</x:v>
      </x:c>
      <x:c r="R36" s="35" t="str">
        <x:v>Stress-Free Living: Rent includes electricity, water, gas, trash, and ultra-high-speed Wi-Fi (capped at reasonable monthly usage).</x:v>
      </x:c>
      <x:c r="S36" s="35" t="str">
        <x:v>None</x:v>
      </x:c>
      <x:c r="T36" s="35" t="str">
        <x:v>https://offcampus.dasa.ncsu.edu/housing/property/huge-modern-studio-suite-private-entrance-and-beth-near-ncsu/ocpteqgjg8</x:v>
      </x:c>
    </x:row>
    <x:row r="37">
      <x:c r="A37" s="35" t="str">
        <x:v>ocp4t7wmxk</x:v>
      </x:c>
      <x:c r="B37" s="35" t="str">
        <x:v>University Oaks</x:v>
      </x:c>
      <x:c r="C37" s="35" t="str">
        <x:v>$725</x:v>
      </x:c>
      <x:c r="D37" s="36" t="n">
        <x:v>725</x:v>
      </x:c>
      <x:c r="E37" s="36" t="n">
        <x:v>725</x:v>
      </x:c>
      <x:c r="F37" s="36" t="n">
        <x:f>AVERAGE(D37:E37)</x:f>
        <x:v>725</x:v>
      </x:c>
      <x:c r="G37" s="37" t="n">
        <x:v>0.456914407</x:v>
      </x:c>
      <x:c r="H37" s="35" t="str">
        <x:v>0–1 mi</x:v>
      </x:c>
      <x:c r="I37" s="35" t="str">
        <x:v>Saved description</x:v>
      </x:c>
      <x:c r="J37" s="35"/>
      <x:c r="K37" s="35" t="str">
        <x:v>No</x:v>
      </x:c>
      <x:c r="L37" s="35"/>
      <x:c r="M37" s="35" t="str">
        <x:v>Utilities included: Water, WiFi, and electricity!</x:v>
      </x:c>
      <x:c r="N37" s="35" t="str">
        <x:v>No</x:v>
      </x:c>
      <x:c r="O37" s="35"/>
      <x:c r="P37" s="35"/>
      <x:c r="Q37" s="35" t="str">
        <x:v>Yes</x:v>
      </x:c>
      <x:c r="R37" s="35" t="str">
        <x:v>Utilities included: Water, WiFi, and electricity!</x:v>
      </x:c>
      <x:c r="S37" s="35" t="str">
        <x:v>None</x:v>
      </x:c>
      <x:c r="T37" s="35" t="str">
        <x:v>https://offcampus.dasa.ncsu.edu/housing/property/university-oaks/ocp4t7wmxk</x:v>
      </x:c>
    </x:row>
    <x:row r="38">
      <x:c r="A38" s="35" t="str">
        <x:v>ocpq99qjpx</x:v>
      </x:c>
      <x:c r="B38" s="35" t="str">
        <x:v>Apartment close to NCSU</x:v>
      </x:c>
      <x:c r="C38" s="35" t="str">
        <x:v>$645</x:v>
      </x:c>
      <x:c r="D38" s="36" t="n">
        <x:v>645</x:v>
      </x:c>
      <x:c r="E38" s="36" t="n">
        <x:v>645</x:v>
      </x:c>
      <x:c r="F38" s="36" t="n">
        <x:f>AVERAGE(D38:E38)</x:f>
        <x:v>645</x:v>
      </x:c>
      <x:c r="G38" s="37" t="n">
        <x:v>1.653317243</x:v>
      </x:c>
      <x:c r="H38" s="35" t="str">
        <x:v>&gt;1–3 mi</x:v>
      </x:c>
      <x:c r="I38" s="35" t="str">
        <x:v>Structured utility fields + saved description</x:v>
      </x:c>
      <x:c r="J38" s="35" t="str">
        <x:v>Electricity; Water/Sewer</x:v>
      </x:c>
      <x:c r="K38" s="35" t="str">
        <x:v>No</x:v>
      </x:c>
      <x:c r="L38" s="35" t="str">
        <x:v>Electricity: Included
Water/Sewer: Included</x:v>
      </x:c>
      <x:c r="M38" s="35" t="str">
        <x:v>All appliances and utilities are included in the rent for a hassle-free living experience.</x:v>
      </x:c>
      <x:c r="N38" s="35" t="str">
        <x:v>No</x:v>
      </x:c>
      <x:c r="O38" s="35"/>
      <x:c r="P38" s="35"/>
      <x:c r="Q38" s="35" t="str">
        <x:v>No</x:v>
      </x:c>
      <x:c r="R38" s="35"/>
      <x:c r="S38" s="35" t="str">
        <x:v>Not reported</x:v>
      </x:c>
      <x:c r="T38" s="35" t="str">
        <x:v>https://offcampus.dasa.ncsu.edu/housing/property/apartment-close-to-ncsu/ocpq99qjpx</x:v>
      </x:c>
    </x:row>
    <x:row r="39">
      <x:c r="A39" s="35" t="str">
        <x:v>ocps6ymwl7</x:v>
      </x:c>
      <x:c r="B39" s="35" t="str">
        <x:v>University Woods</x:v>
      </x:c>
      <x:c r="C39" s="35" t="str">
        <x:v>$600</x:v>
      </x:c>
      <x:c r="D39" s="36" t="n">
        <x:v>600</x:v>
      </x:c>
      <x:c r="E39" s="36" t="n">
        <x:v>600</x:v>
      </x:c>
      <x:c r="F39" s="36" t="n">
        <x:f>AVERAGE(D39:E39)</x:f>
        <x:v>600</x:v>
      </x:c>
      <x:c r="G39" s="37" t="n">
        <x:v>2.123645671</x:v>
      </x:c>
      <x:c r="H39" s="35" t="str">
        <x:v>&gt;1–3 mi</x:v>
      </x:c>
      <x:c r="I39" s="35" t="str">
        <x:v>Structured utility fields + saved description</x:v>
      </x:c>
      <x:c r="J39" s="35" t="str">
        <x:v>Electricity; Water/Sewer</x:v>
      </x:c>
      <x:c r="K39" s="35" t="str">
        <x:v>No</x:v>
      </x:c>
      <x:c r="L39" s="35" t="str">
        <x:v>Electricity: Included
Water/Sewer: Included</x:v>
      </x:c>
      <x:c r="M39" s="35" t="str">
        <x:v>Water and electric are included with a cap.</x:v>
      </x:c>
      <x:c r="N39" s="35" t="str">
        <x:v>No</x:v>
      </x:c>
      <x:c r="O39" s="35"/>
      <x:c r="P39" s="35"/>
      <x:c r="Q39" s="35" t="str">
        <x:v>No</x:v>
      </x:c>
      <x:c r="R39" s="35"/>
      <x:c r="S39" s="35" t="str">
        <x:v>Not reported</x:v>
      </x:c>
      <x:c r="T39" s="35" t="str">
        <x:v>https://offcampus.dasa.ncsu.edu/housing/property/university-woods/ocps6ymwl7</x:v>
      </x:c>
    </x:row>
    <x:row r="40">
      <x:c r="A40" s="35" t="str">
        <x:v>ocpvgtpebg</x:v>
      </x:c>
      <x:c r="B40" s="35" t="str">
        <x:v>Lake Park Condos- Room Rental with Utilities</x:v>
      </x:c>
      <x:c r="C40" s="35" t="str">
        <x:v>$500 - $600</x:v>
      </x:c>
      <x:c r="D40" s="36" t="n">
        <x:v>500</x:v>
      </x:c>
      <x:c r="E40" s="36" t="n">
        <x:v>600</x:v>
      </x:c>
      <x:c r="F40" s="36" t="n">
        <x:f>AVERAGE(D40:E40)</x:f>
        <x:v>550</x:v>
      </x:c>
      <x:c r="G40" s="37" t="n">
        <x:v>1.637356936</x:v>
      </x:c>
      <x:c r="H40" s="35" t="str">
        <x:v>&gt;1–3 mi</x:v>
      </x:c>
      <x:c r="I40" s="35" t="str">
        <x:v>Structured utility fields + saved description</x:v>
      </x:c>
      <x:c r="J40" s="35" t="str">
        <x:v>Electricity; Water/Sewer</x:v>
      </x:c>
      <x:c r="K40" s="35" t="str">
        <x:v>No</x:v>
      </x:c>
      <x:c r="L40" s="35" t="str">
        <x:v>Electricity: Included
Water/Sewer: Included</x:v>
      </x:c>
      <x:c r="M40" s="35" t="str">
        <x:v>Water and electric are included with a cap.</x:v>
      </x:c>
      <x:c r="N40" s="35" t="str">
        <x:v>No</x:v>
      </x:c>
      <x:c r="O40" s="35"/>
      <x:c r="P40" s="35"/>
      <x:c r="Q40" s="35" t="str">
        <x:v>No</x:v>
      </x:c>
      <x:c r="R40" s="35"/>
      <x:c r="S40" s="35" t="str">
        <x:v>Not reported</x:v>
      </x:c>
      <x:c r="T40" s="35" t="str">
        <x:v>https://offcampus.dasa.ncsu.edu/housing/property/lake-park-condos-room-rental-with-utilities/ocpvgtpebg</x:v>
      </x:c>
    </x:row>
    <x:row r="41">
      <x:c r="A41" s="35" t="str">
        <x:v>5hme2mn</x:v>
      </x:c>
      <x:c r="B41" s="35" t="str">
        <x:v>The Station Raleigh</x:v>
      </x:c>
      <x:c r="C41" s="35" t="str">
        <x:v>$749 - $1,930</x:v>
      </x:c>
      <x:c r="D41" s="36" t="n">
        <x:v>749</x:v>
      </x:c>
      <x:c r="E41" s="36" t="n">
        <x:v>1930</x:v>
      </x:c>
      <x:c r="F41" s="36" t="n">
        <x:f>AVERAGE(D41:E41)</x:f>
        <x:v>1339.5</x:v>
      </x:c>
      <x:c r="G41" s="37" t="n">
        <x:v>2.173712249</x:v>
      </x:c>
      <x:c r="H41" s="35" t="str">
        <x:v>&gt;1–3 mi</x:v>
      </x:c>
      <x:c r="I41" s="35" t="str">
        <x:v>Structured utility fields</x:v>
      </x:c>
      <x:c r="J41" s="35" t="str">
        <x:v>Gas; Heat; Trash Removal; Water/Sewer</x:v>
      </x:c>
      <x:c r="K41" s="35" t="str">
        <x:v>No</x:v>
      </x:c>
      <x:c r="L41" s="35" t="str">
        <x:v>Air Conditioning: Included
Cable: Included
Gas: Included
Heat: Included
High-Speed Internet: Included
Trash Removal: Included
Water/Sewer: Included</x:v>
      </x:c>
      <x:c r="M41" s="35"/>
      <x:c r="N41" s="35" t="str">
        <x:v>No</x:v>
      </x:c>
      <x:c r="O41" s="35"/>
      <x:c r="P41" s="35"/>
      <x:c r="Q41" s="35" t="str">
        <x:v>Yes</x:v>
      </x:c>
      <x:c r="R41" s="35" t="str">
        <x:v>High-Speed Internet: Included</x:v>
      </x:c>
      <x:c r="S41" s="35" t="str">
        <x:v>Not reported</x:v>
      </x:c>
      <x:c r="T41" s="35" t="str">
        <x:v>https://offcampus.dasa.ncsu.edu/housing/property/the-station-raleigh/5hme2mn</x:v>
      </x:c>
    </x:row>
    <x:row r="42">
      <x:c r="A42" s="35" t="str">
        <x:v>lpl9fce</x:v>
      </x:c>
      <x:c r="B42" s="35" t="str">
        <x:v>2850 Sanderford Rd (Raleigh, NC)</x:v>
      </x:c>
      <x:c r="C42" s="35" t="str">
        <x:v>$650</x:v>
      </x:c>
      <x:c r="D42" s="36" t="n">
        <x:v>650</x:v>
      </x:c>
      <x:c r="E42" s="36" t="n">
        <x:v>650</x:v>
      </x:c>
      <x:c r="F42" s="36" t="n">
        <x:f>AVERAGE(D42:E42)</x:f>
        <x:v>650</x:v>
      </x:c>
      <x:c r="G42" s="37" t="n">
        <x:v>4.772916888</x:v>
      </x:c>
      <x:c r="H42" s="35" t="str">
        <x:v>&gt;3–5 mi</x:v>
      </x:c>
      <x:c r="I42" s="35" t="str">
        <x:v>Structured utility fields + saved description</x:v>
      </x:c>
      <x:c r="J42" s="35" t="str">
        <x:v>Electricity; Trash Removal; Water/Sewer</x:v>
      </x:c>
      <x:c r="K42" s="35" t="str">
        <x:v>No</x:v>
      </x:c>
      <x:c r="L42" s="35" t="str">
        <x:v>Electricity: Included
Trash Removal: Included
Water/Sewer: Included</x:v>
      </x:c>
      <x:c r="M42" s="35" t="str">
        <x:v>Water, sewage, trash, internet and power all included</x:v>
      </x:c>
      <x:c r="N42" s="35" t="str">
        <x:v>No</x:v>
      </x:c>
      <x:c r="O42" s="35"/>
      <x:c r="P42" s="35"/>
      <x:c r="Q42" s="35" t="str">
        <x:v>Yes</x:v>
      </x:c>
      <x:c r="R42" s="35" t="str">
        <x:v>Water, sewage, trash, internet and power all included</x:v>
      </x:c>
      <x:c r="S42" s="35" t="str">
        <x:v>Not reported</x:v>
      </x:c>
      <x:c r="T42" s="35" t="str">
        <x:v>https://offcampus.dasa.ncsu.edu/housing/property/2850-sanderford-rd-raleigh-nc/lpl9fce</x:v>
      </x:c>
    </x:row>
    <x:row r="43">
      <x:c r="A43" s="35" t="str">
        <x:v>ocp67ldb5s</x:v>
      </x:c>
      <x:c r="B43" s="35" t="str">
        <x:v>The Wilde</x:v>
      </x:c>
      <x:c r="C43" s="35" t="str">
        <x:v>$860</x:v>
      </x:c>
      <x:c r="D43" s="36" t="n">
        <x:v>860</x:v>
      </x:c>
      <x:c r="E43" s="36" t="n">
        <x:v>860</x:v>
      </x:c>
      <x:c r="F43" s="36" t="n">
        <x:f>AVERAGE(D43:E43)</x:f>
        <x:v>860</x:v>
      </x:c>
      <x:c r="G43" s="37" t="n">
        <x:v>2.038270328</x:v>
      </x:c>
      <x:c r="H43" s="35" t="str">
        <x:v>&gt;1–3 mi</x:v>
      </x:c>
      <x:c r="I43" s="35" t="str">
        <x:v>Saved description</x:v>
      </x:c>
      <x:c r="J43" s="35"/>
      <x:c r="K43" s="35" t="str">
        <x:v>No</x:v>
      </x:c>
      <x:c r="L43" s="35"/>
      <x:c r="M43" s="35" t="str">
        <x:v>The $860 rent is all inclusive of fees and utilities outside of 1 time administrative fees.</x:v>
      </x:c>
      <x:c r="N43" s="35" t="str">
        <x:v>Yes</x:v>
      </x:c>
      <x:c r="O43" s="35" t="str">
        <x:v>The $860 rent is all inclusive of fees and utilities outside of 1 time administrative fees.</x:v>
      </x:c>
      <x:c r="P43" s="35" t="str">
        <x:v>Manual review: saved wording explicitly states all utilities are included/inclusive.</x:v>
      </x:c>
      <x:c r="Q43" s="35" t="str">
        <x:v>No</x:v>
      </x:c>
      <x:c r="R43" s="35"/>
      <x:c r="S43" s="35" t="str">
        <x:v>Not reported</x:v>
      </x:c>
      <x:c r="T43" s="35" t="str">
        <x:v>https://offcampus.dasa.ncsu.edu/housing/property/the-wilde/ocp67ldb5s</x:v>
      </x:c>
    </x:row>
    <x:row r="44">
      <x:c r="A44" s="35" t="str">
        <x:v>ocp0psn632</x:v>
      </x:c>
      <x:c r="B44" s="35" t="str">
        <x:v>An apartments with 3 bed and 3 bath for NC State Students www.ncstudentsliving.com</x:v>
      </x:c>
      <x:c r="C44" s="35" t="str">
        <x:v>$650</x:v>
      </x:c>
      <x:c r="D44" s="36" t="n">
        <x:v>650</x:v>
      </x:c>
      <x:c r="E44" s="36" t="n">
        <x:v>650</x:v>
      </x:c>
      <x:c r="F44" s="36" t="n">
        <x:f>AVERAGE(D44:E44)</x:f>
        <x:v>650</x:v>
      </x:c>
      <x:c r="G44" s="37" t="n">
        <x:v>2.262000465</x:v>
      </x:c>
      <x:c r="H44" s="35" t="str">
        <x:v>&gt;1–3 mi</x:v>
      </x:c>
      <x:c r="I44" s="35" t="str">
        <x:v>Structured utility fields</x:v>
      </x:c>
      <x:c r="J44" s="35" t="str">
        <x:v>Trash Removal; Water/Sewer</x:v>
      </x:c>
      <x:c r="K44" s="35" t="str">
        <x:v>No</x:v>
      </x:c>
      <x:c r="L44" s="35" t="str">
        <x:v>Recycling: Included
Trash Removal: Included
Water/Sewer: Included</x:v>
      </x:c>
      <x:c r="M44" s="35"/>
      <x:c r="N44" s="35" t="str">
        <x:v>No</x:v>
      </x:c>
      <x:c r="O44" s="35"/>
      <x:c r="P44" s="35"/>
      <x:c r="Q44" s="35" t="str">
        <x:v>No</x:v>
      </x:c>
      <x:c r="R44" s="35"/>
      <x:c r="S44" s="35" t="str">
        <x:v>Not reported</x:v>
      </x:c>
      <x:c r="T44" s="35" t="str">
        <x:v>https://offcampus.dasa.ncsu.edu/housing/property/an-apartments-with-3-bed-and-3-bath-for-nc-state-students-www-ncstudentsliving-com/ocp0psn632</x:v>
      </x:c>
    </x:row>
    <x:row r="45">
      <x:c r="A45" s="35" t="str">
        <x:v>ocp5lwrmvq</x:v>
      </x:c>
      <x:c r="B45" s="35" t="str">
        <x:v>Convenient Kaplan Dr property near NCSU buses, park, grocery, with parking space &amp; private bathroom</x:v>
      </x:c>
      <x:c r="C45" s="35" t="str">
        <x:v>$675</x:v>
      </x:c>
      <x:c r="D45" s="36" t="n">
        <x:v>675</x:v>
      </x:c>
      <x:c r="E45" s="36" t="n">
        <x:v>675</x:v>
      </x:c>
      <x:c r="F45" s="36" t="n">
        <x:f>AVERAGE(D45:E45)</x:f>
        <x:v>675</x:v>
      </x:c>
      <x:c r="G45" s="37" t="n">
        <x:v>0.716855117</x:v>
      </x:c>
      <x:c r="H45" s="35" t="str">
        <x:v>0–1 mi</x:v>
      </x:c>
      <x:c r="I45" s="35" t="str">
        <x:v>Saved description</x:v>
      </x:c>
      <x:c r="J45" s="35"/>
      <x:c r="K45" s="35" t="str">
        <x:v>No</x:v>
      </x:c>
      <x:c r="L45" s="35"/>
      <x:c r="M45" s="35" t="str">
        <x:v>Base rent is $675, so listed price is with utilities and internet.</x:v>
      </x:c>
      <x:c r="N45" s="35" t="str">
        <x:v>No</x:v>
      </x:c>
      <x:c r="O45" s="35"/>
      <x:c r="P45" s="35"/>
      <x:c r="Q45" s="35" t="str">
        <x:v>Yes</x:v>
      </x:c>
      <x:c r="R45" s="35" t="str">
        <x:v>Base rent is $675, so listed price is with utilities and internet.</x:v>
      </x:c>
      <x:c r="S45" s="35" t="str">
        <x:v>Not reported</x:v>
      </x:c>
      <x:c r="T45" s="35" t="str">
        <x:v>https://offcampus.dasa.ncsu.edu/housing/property/convenient-kaplan-dr-property-near-ncsu-buses-park-grocery-with-parking-space-and-private-bathroom/ocp5lwrmvq</x:v>
      </x:c>
    </x:row>
    <x:row r="46">
      <x:c r="A46" s="35" t="str">
        <x:v>COUNT</x:v>
      </x:c>
      <x:c r="B46" s="35" t="str">
        <x:v>Excel count of 41 listings</x:v>
      </x:c>
      <x:c r="C46" s="35"/>
      <x:c r="D46" s="36" t="n">
        <x:f>COUNT(D5:D45)</x:f>
        <x:v>41</x:v>
      </x:c>
      <x:c r="E46" s="36" t="n">
        <x:f>COUNT(E5:E45)</x:f>
        <x:v>41</x:v>
      </x:c>
      <x:c r="F46" s="36" t="n">
        <x:f>COUNT(F5:F45)</x:f>
        <x:v>41</x:v>
      </x:c>
      <x:c r="G46" s="37"/>
      <x:c r="H46" s="35"/>
      <x:c r="I46" s="35"/>
      <x:c r="J46" s="35"/>
      <x:c r="K46" s="35"/>
      <x:c r="L46" s="35"/>
      <x:c r="M46" s="35"/>
      <x:c r="N46" s="35"/>
      <x:c r="O46" s="35"/>
      <x:c r="P46" s="35"/>
      <x:c r="Q46" s="35" t="str">
        <x:v>No</x:v>
      </x:c>
      <x:c r="R46" s="35"/>
      <x:c r="S46" s="35"/>
      <x:c r="T46" s="35"/>
    </x:row>
    <x:row r="47">
      <x:c r="A47" s="35" t="str">
        <x:v>SUM</x:v>
      </x:c>
      <x:c r="B47" s="35" t="str">
        <x:v>Sum of advertised listing values</x:v>
      </x:c>
      <x:c r="C47" s="35"/>
      <x:c r="D47" s="36" t="n">
        <x:f>SUM(D5:D45)</x:f>
        <x:v>33402</x:v>
      </x:c>
      <x:c r="E47" s="36" t="n">
        <x:f>SUM(E5:E45)</x:f>
        <x:v>38603</x:v>
      </x:c>
      <x:c r="F47" s="36" t="n">
        <x:f>SUM(F5:F45)</x:f>
        <x:v>36002.5</x:v>
      </x:c>
      <x:c r="G47" s="37"/>
      <x:c r="H47" s="35"/>
      <x:c r="I47" s="35"/>
      <x:c r="J47" s="35"/>
      <x:c r="K47" s="35"/>
      <x:c r="L47" s="35"/>
      <x:c r="M47" s="35"/>
      <x:c r="N47" s="35"/>
      <x:c r="O47" s="35"/>
      <x:c r="P47" s="35"/>
      <x:c r="Q47" s="35" t="str">
        <x:v>No</x:v>
      </x:c>
      <x:c r="R47" s="35"/>
      <x:c r="S47" s="35"/>
      <x:c r="T47" s="35"/>
    </x:row>
    <x:row r="48">
      <x:c r="A48" s="35" t="str">
        <x:v>MEAN</x:v>
      </x:c>
      <x:c r="B48" s="35" t="str">
        <x:v>Mean advertised rent using listing midpoints</x:v>
      </x:c>
      <x:c r="C48" s="35"/>
      <x:c r="D48" s="36" t="n">
        <x:f>AVERAGE(D5:D45)</x:f>
        <x:v>814.6829268292682</x:v>
      </x:c>
      <x:c r="E48" s="36" t="n">
        <x:f>AVERAGE(E5:E45)</x:f>
        <x:v>941.5365853658536</x:v>
      </x:c>
      <x:c r="F48" s="36" t="n">
        <x:f>AVERAGE(F5:F45)</x:f>
        <x:v>878.109756097561</x:v>
      </x:c>
      <x:c r="G48" s="37"/>
      <x:c r="H48" s="35"/>
      <x:c r="I48" s="35"/>
      <x:c r="J48" s="35"/>
      <x:c r="K48" s="35"/>
      <x:c r="L48" s="35"/>
      <x:c r="M48" s="35"/>
      <x:c r="N48" s="35"/>
      <x:c r="O48" s="35"/>
      <x:c r="P48" s="35"/>
      <x:c r="Q48" s="35" t="str">
        <x:v>No</x:v>
      </x:c>
      <x:c r="R48" s="35"/>
      <x:c r="S48" s="35"/>
      <x:c r="T48" s="35"/>
    </x:row>
    <x:row r="49">
      <x:c r="A49" s="35" t="str">
        <x:v>SUM ÷ COUNT CHECK</x:v>
      </x:c>
      <x:c r="B49" s="35" t="str">
        <x:v>Same mean calculated explicitly</x:v>
      </x:c>
      <x:c r="C49" s="35"/>
      <x:c r="D49" s="36" t="n">
        <x:f>D47/D46</x:f>
        <x:v>814.6829268292682</x:v>
      </x:c>
      <x:c r="E49" s="36" t="n">
        <x:f>E47/E46</x:f>
        <x:v>941.5365853658536</x:v>
      </x:c>
      <x:c r="F49" s="36" t="n">
        <x:f>F47/F46</x:f>
        <x:v>878.109756097561</x:v>
      </x:c>
      <x:c r="G49" s="37"/>
      <x:c r="H49" s="35"/>
      <x:c r="I49" s="35"/>
      <x:c r="J49" s="35"/>
      <x:c r="K49" s="35"/>
      <x:c r="L49" s="35"/>
      <x:c r="M49" s="35"/>
      <x:c r="N49" s="35"/>
      <x:c r="O49" s="35"/>
      <x:c r="P49" s="35"/>
      <x:c r="Q49" s="35" t="str">
        <x:v>No</x:v>
      </x:c>
      <x:c r="R49" s="35"/>
      <x:c r="S49" s="35"/>
      <x:c r="T49" s="35"/>
    </x:row>
  </x:sheetData>
  <x:mergeCells>
    <x:mergeCell ref="A1:T1"/>
    <x:mergeCell ref="A2:T2"/>
  </x:mergeCells>
  <x:pageMargins left="0.7" right="0.7" top="0.75" bottom="0.75" header="0.3" footer="0.3"/>
</x:worksheet>
</file>